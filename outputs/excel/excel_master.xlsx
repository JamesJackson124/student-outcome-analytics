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mesjackson/Documents/student_outcome_analysis/data/excel/"/>
    </mc:Choice>
  </mc:AlternateContent>
  <xr:revisionPtr revIDLastSave="0" documentId="13_ncr:9_{A93753E3-6A8C-5143-B286-22A7EB38DD74}" xr6:coauthVersionLast="47" xr6:coauthVersionMax="47" xr10:uidLastSave="{00000000-0000-0000-0000-000000000000}"/>
  <bookViews>
    <workbookView xWindow="-240" yWindow="740" windowWidth="14740" windowHeight="17200" firstSheet="3" activeTab="5" xr2:uid="{E05DBCA0-2865-534C-8947-045175DC717C}"/>
  </bookViews>
  <sheets>
    <sheet name="final_result_by_region" sheetId="1" r:id="rId1"/>
    <sheet name="final_result_by_imd_band" sheetId="2" r:id="rId2"/>
    <sheet name="final_result_by_age_band" sheetId="3" r:id="rId3"/>
    <sheet name="final_result_by_gender" sheetId="4" r:id="rId4"/>
    <sheet name="final_result_by_disability" sheetId="5" r:id="rId5"/>
    <sheet name="final_result_by_code_presentati" sheetId="6" r:id="rId6"/>
    <sheet name="final_result_by_total_clicks" sheetId="7" r:id="rId7"/>
    <sheet name="final_result_by_num_of_prev_att" sheetId="8" r:id="rId8"/>
    <sheet name="final_result_by_studied_credits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5" i="6" l="1"/>
  <c r="G25" i="6"/>
  <c r="C17" i="6"/>
  <c r="C21" i="6"/>
  <c r="H24" i="6"/>
  <c r="G24" i="6"/>
  <c r="E41" i="2" a="1"/>
  <c r="E41" i="2" s="1"/>
  <c r="C51" i="2"/>
  <c r="C50" i="2"/>
  <c r="C49" i="2"/>
  <c r="C48" i="2"/>
  <c r="C47" i="2"/>
  <c r="C46" i="2"/>
  <c r="C45" i="2"/>
  <c r="C44" i="2"/>
  <c r="C43" i="2"/>
  <c r="C42" i="2"/>
  <c r="E17" i="3" a="1"/>
  <c r="E17" i="3" s="1"/>
  <c r="C20" i="3"/>
  <c r="C19" i="3"/>
  <c r="C18" i="3"/>
  <c r="E24" i="7" a="1"/>
  <c r="E24" i="7" s="1"/>
  <c r="C28" i="7"/>
  <c r="C27" i="7"/>
  <c r="C26" i="7"/>
  <c r="C25" i="7"/>
  <c r="C24" i="7"/>
  <c r="C32" i="9"/>
  <c r="C31" i="9"/>
  <c r="C30" i="9"/>
  <c r="E23" i="9" a="1"/>
  <c r="E23" i="9" s="1"/>
  <c r="C28" i="9"/>
  <c r="C27" i="9"/>
  <c r="C26" i="9"/>
  <c r="C25" i="9"/>
  <c r="C24" i="9"/>
  <c r="C28" i="8" a="1"/>
  <c r="C28" i="8" s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C34" i="1"/>
  <c r="C35" i="1"/>
  <c r="C36" i="1"/>
  <c r="C37" i="1"/>
  <c r="C38" i="1"/>
  <c r="C39" i="1"/>
  <c r="C40" i="1"/>
  <c r="C41" i="1"/>
  <c r="C42" i="1"/>
  <c r="C43" i="1"/>
  <c r="C44" i="1"/>
  <c r="C45" i="1"/>
  <c r="C33" i="1"/>
  <c r="D29" i="2"/>
  <c r="D30" i="2"/>
  <c r="D31" i="2"/>
  <c r="D32" i="2"/>
  <c r="D33" i="2"/>
  <c r="D34" i="2"/>
  <c r="D35" i="2"/>
  <c r="D36" i="2"/>
  <c r="D37" i="2"/>
  <c r="D38" i="2"/>
  <c r="D39" i="2"/>
  <c r="C30" i="2"/>
  <c r="C31" i="2"/>
  <c r="C32" i="2"/>
  <c r="C33" i="2"/>
  <c r="C34" i="2"/>
  <c r="C35" i="2"/>
  <c r="C36" i="2"/>
  <c r="C37" i="2"/>
  <c r="C38" i="2"/>
  <c r="C39" i="2"/>
  <c r="C29" i="2"/>
  <c r="C14" i="3"/>
  <c r="D14" i="3"/>
  <c r="C15" i="3"/>
  <c r="D15" i="3"/>
  <c r="D13" i="3"/>
  <c r="C13" i="3"/>
  <c r="D12" i="4"/>
  <c r="C12" i="4"/>
  <c r="D11" i="4"/>
  <c r="C11" i="4"/>
  <c r="D11" i="5"/>
  <c r="D12" i="5"/>
  <c r="C12" i="5"/>
  <c r="C11" i="5"/>
  <c r="C15" i="6"/>
  <c r="D15" i="6"/>
  <c r="C16" i="6"/>
  <c r="D16" i="6"/>
  <c r="D17" i="6"/>
  <c r="C18" i="6"/>
  <c r="D18" i="6"/>
  <c r="C18" i="7"/>
  <c r="D18" i="7"/>
  <c r="C19" i="7"/>
  <c r="D19" i="7"/>
  <c r="C20" i="7"/>
  <c r="D20" i="7"/>
  <c r="C21" i="7"/>
  <c r="D21" i="7"/>
  <c r="D17" i="7"/>
  <c r="C17" i="7"/>
  <c r="D15" i="8"/>
  <c r="D16" i="8"/>
  <c r="D17" i="8"/>
  <c r="D18" i="8"/>
  <c r="C16" i="8"/>
  <c r="C17" i="8"/>
  <c r="C18" i="8"/>
  <c r="C15" i="8"/>
  <c r="D17" i="9"/>
  <c r="D18" i="9"/>
  <c r="D19" i="9"/>
  <c r="D20" i="9"/>
  <c r="D21" i="9"/>
  <c r="C18" i="9"/>
  <c r="C19" i="9"/>
  <c r="C20" i="9"/>
  <c r="C21" i="9"/>
  <c r="C17" i="9"/>
  <c r="C22" i="6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<sst xmlns="http://schemas.openxmlformats.org/spreadsheetml/2006/main" count="281" uniqueCount="76">
  <si>
    <t>Distinction</t>
  </si>
  <si>
    <t>Fail</t>
  </si>
  <si>
    <t>Pass</t>
  </si>
  <si>
    <t>Withdrawn</t>
  </si>
  <si>
    <t>% Distinction</t>
  </si>
  <si>
    <t>% Fail</t>
  </si>
  <si>
    <t>% Pass</t>
  </si>
  <si>
    <t>% Withdrawn</t>
  </si>
  <si>
    <t>Num Students</t>
  </si>
  <si>
    <t>Scotland</t>
  </si>
  <si>
    <t>East Anglian Region</t>
  </si>
  <si>
    <t>London Region</t>
  </si>
  <si>
    <t>South Region</t>
  </si>
  <si>
    <t>North Western Region</t>
  </si>
  <si>
    <t>West Midlands Region</t>
  </si>
  <si>
    <t>South West Region</t>
  </si>
  <si>
    <t>East Midlands Region</t>
  </si>
  <si>
    <t>South East Region</t>
  </si>
  <si>
    <t>Wales</t>
  </si>
  <si>
    <t>Yorkshire Region</t>
  </si>
  <si>
    <t>North Region</t>
  </si>
  <si>
    <t>Ireland</t>
  </si>
  <si>
    <t>Unknown</t>
  </si>
  <si>
    <t>90-100%</t>
  </si>
  <si>
    <t>80-90%</t>
  </si>
  <si>
    <t>70-80%</t>
  </si>
  <si>
    <t>60-70%</t>
  </si>
  <si>
    <t>50-60%</t>
  </si>
  <si>
    <t>40-50%</t>
  </si>
  <si>
    <t>0-10%</t>
  </si>
  <si>
    <t>30-40%</t>
  </si>
  <si>
    <t>20-30%</t>
  </si>
  <si>
    <t>55&lt;=</t>
  </si>
  <si>
    <t>35-55</t>
  </si>
  <si>
    <t>0-35</t>
  </si>
  <si>
    <t>F</t>
  </si>
  <si>
    <t>M</t>
  </si>
  <si>
    <t>Y</t>
  </si>
  <si>
    <t>N</t>
  </si>
  <si>
    <t>2013B</t>
  </si>
  <si>
    <t>2014B</t>
  </si>
  <si>
    <t>2013J</t>
  </si>
  <si>
    <t>2014J</t>
  </si>
  <si>
    <t>1501-2000</t>
  </si>
  <si>
    <t>1001-1500</t>
  </si>
  <si>
    <t>501-1000</t>
  </si>
  <si>
    <t>2001+</t>
  </si>
  <si>
    <t>0-500</t>
  </si>
  <si>
    <t>3+</t>
  </si>
  <si>
    <t>241+</t>
  </si>
  <si>
    <t>181-240</t>
  </si>
  <si>
    <t>121-180</t>
  </si>
  <si>
    <t>61-120</t>
  </si>
  <si>
    <t>0-60</t>
  </si>
  <si>
    <t>% Total Fail</t>
  </si>
  <si>
    <t>Studied Credits</t>
  </si>
  <si>
    <t>No. Previous Attempts</t>
  </si>
  <si>
    <t>No. Students</t>
  </si>
  <si>
    <t>Total Clicks</t>
  </si>
  <si>
    <t>Presentation Code</t>
  </si>
  <si>
    <t>Disability</t>
  </si>
  <si>
    <t>% Total Pass</t>
  </si>
  <si>
    <t>Gender</t>
  </si>
  <si>
    <t>Age Band</t>
  </si>
  <si>
    <t>10-20%</t>
  </si>
  <si>
    <t>IMD Band</t>
  </si>
  <si>
    <t>Region</t>
  </si>
  <si>
    <t>m =</t>
  </si>
  <si>
    <t xml:space="preserve">c = </t>
  </si>
  <si>
    <t>R^2 =</t>
  </si>
  <si>
    <t>Mean Studied Credits</t>
  </si>
  <si>
    <t>c =</t>
  </si>
  <si>
    <t>Mean Age</t>
  </si>
  <si>
    <t>Mean IMD / %</t>
  </si>
  <si>
    <t>J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</si>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</sst>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1" formatCode="0.0%"/>
  </numFmts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8">
    <xf numFmtId="0" fontId="0" fillId="0" borderId="0" xfId="0"/>
    <xf numFmtId="0" fontId="0" fillId="0" borderId="0" xfId="0" applyAlignment="1">
      <alignment horizontal="center"/>
    </xf>
    <xf numFmtId="0" fontId="18" fillId="0" borderId="10" xfId="0" applyFont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18" fillId="0" borderId="20" xfId="0" applyFont="1" applyBorder="1" applyAlignment="1">
      <alignment horizontal="center"/>
    </xf>
    <xf numFmtId="0" fontId="18" fillId="0" borderId="21" xfId="0" applyFont="1" applyBorder="1" applyAlignment="1">
      <alignment horizontal="center"/>
    </xf>
    <xf numFmtId="17" fontId="0" fillId="0" borderId="12" xfId="0" quotePrefix="1" applyNumberFormat="1" applyBorder="1" applyAlignment="1">
      <alignment horizontal="center"/>
    </xf>
    <xf numFmtId="0" fontId="0" fillId="0" borderId="0" xfId="0" applyAlignment="1">
      <alignment horizontal="right"/>
    </xf>
    <xf numFmtId="0" fontId="0" fillId="0" borderId="0" xfId="0" applyFill="1" applyBorder="1" applyAlignment="1">
      <alignment horizontal="center"/>
    </xf>
    <xf numFmtId="171" fontId="0" fillId="0" borderId="0" xfId="1" applyNumberFormat="1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 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9A3AA2-6ECC-6F4A-9D3C-2A95E4C4C548}">
  <dimension ref="B1:G45"/>
  <sheetViews>
    <sheetView topLeftCell="A17" workbookViewId="0">
      <selection activeCell="B32" sqref="B32:C45"/>
    </sheetView>
  </sheetViews>
  <sheetFormatPr baseColWidth="10" defaultRowHeight="16" x14ac:dyDescent="0.2"/>
  <cols>
    <col min="2" max="2" width="19" bestFit="1" customWidth="1"/>
    <col min="3" max="3" width="12.1640625" bestFit="1" customWidth="1"/>
    <col min="6" max="6" width="11.83203125" bestFit="1" customWidth="1"/>
    <col min="7" max="7" width="11.6640625" bestFit="1" customWidth="1"/>
  </cols>
  <sheetData>
    <row r="1" spans="2:7" ht="17" thickBot="1" x14ac:dyDescent="0.25"/>
    <row r="2" spans="2:7" ht="17" thickBot="1" x14ac:dyDescent="0.25">
      <c r="B2" s="2" t="s">
        <v>66</v>
      </c>
      <c r="C2" s="2" t="s">
        <v>0</v>
      </c>
      <c r="D2" s="2" t="s">
        <v>1</v>
      </c>
      <c r="E2" s="2" t="s">
        <v>2</v>
      </c>
      <c r="F2" s="2" t="s">
        <v>3</v>
      </c>
      <c r="G2" s="2" t="s">
        <v>57</v>
      </c>
    </row>
    <row r="3" spans="2:7" x14ac:dyDescent="0.2">
      <c r="B3" s="3" t="s">
        <v>9</v>
      </c>
      <c r="C3" s="3">
        <v>328</v>
      </c>
      <c r="D3" s="3">
        <v>852</v>
      </c>
      <c r="E3" s="3">
        <v>1359</v>
      </c>
      <c r="F3" s="3">
        <v>907</v>
      </c>
      <c r="G3" s="3">
        <v>3446</v>
      </c>
    </row>
    <row r="4" spans="2:7" x14ac:dyDescent="0.2">
      <c r="B4" s="4" t="s">
        <v>10</v>
      </c>
      <c r="C4" s="4">
        <v>327</v>
      </c>
      <c r="D4" s="4">
        <v>698</v>
      </c>
      <c r="E4" s="4">
        <v>1309</v>
      </c>
      <c r="F4" s="4">
        <v>1006</v>
      </c>
      <c r="G4" s="4">
        <v>3340</v>
      </c>
    </row>
    <row r="5" spans="2:7" x14ac:dyDescent="0.2">
      <c r="B5" s="4" t="s">
        <v>11</v>
      </c>
      <c r="C5" s="4">
        <v>263</v>
      </c>
      <c r="D5" s="4">
        <v>744</v>
      </c>
      <c r="E5" s="4">
        <v>1099</v>
      </c>
      <c r="F5" s="4">
        <v>1110</v>
      </c>
      <c r="G5" s="4">
        <v>3216</v>
      </c>
    </row>
    <row r="6" spans="2:7" x14ac:dyDescent="0.2">
      <c r="B6" s="4" t="s">
        <v>12</v>
      </c>
      <c r="C6" s="4">
        <v>333</v>
      </c>
      <c r="D6" s="4">
        <v>544</v>
      </c>
      <c r="E6" s="4">
        <v>1287</v>
      </c>
      <c r="F6" s="4">
        <v>928</v>
      </c>
      <c r="G6" s="4">
        <v>3092</v>
      </c>
    </row>
    <row r="7" spans="2:7" x14ac:dyDescent="0.2">
      <c r="B7" s="4" t="s">
        <v>13</v>
      </c>
      <c r="C7" s="4">
        <v>213</v>
      </c>
      <c r="D7" s="4">
        <v>704</v>
      </c>
      <c r="E7" s="4">
        <v>955</v>
      </c>
      <c r="F7" s="4">
        <v>1034</v>
      </c>
      <c r="G7" s="4">
        <v>2906</v>
      </c>
    </row>
    <row r="8" spans="2:7" x14ac:dyDescent="0.2">
      <c r="B8" s="4" t="s">
        <v>14</v>
      </c>
      <c r="C8" s="4">
        <v>182</v>
      </c>
      <c r="D8" s="4">
        <v>551</v>
      </c>
      <c r="E8" s="4">
        <v>936</v>
      </c>
      <c r="F8" s="4">
        <v>913</v>
      </c>
      <c r="G8" s="4">
        <v>2582</v>
      </c>
    </row>
    <row r="9" spans="2:7" x14ac:dyDescent="0.2">
      <c r="B9" s="4" t="s">
        <v>15</v>
      </c>
      <c r="C9" s="4">
        <v>264</v>
      </c>
      <c r="D9" s="4">
        <v>465</v>
      </c>
      <c r="E9" s="4">
        <v>949</v>
      </c>
      <c r="F9" s="4">
        <v>758</v>
      </c>
      <c r="G9" s="4">
        <v>2436</v>
      </c>
    </row>
    <row r="10" spans="2:7" x14ac:dyDescent="0.2">
      <c r="B10" s="4" t="s">
        <v>16</v>
      </c>
      <c r="C10" s="4">
        <v>200</v>
      </c>
      <c r="D10" s="4">
        <v>462</v>
      </c>
      <c r="E10" s="4">
        <v>881</v>
      </c>
      <c r="F10" s="4">
        <v>822</v>
      </c>
      <c r="G10" s="4">
        <v>2365</v>
      </c>
    </row>
    <row r="11" spans="2:7" x14ac:dyDescent="0.2">
      <c r="B11" s="4" t="s">
        <v>17</v>
      </c>
      <c r="C11" s="4">
        <v>244</v>
      </c>
      <c r="D11" s="4">
        <v>375</v>
      </c>
      <c r="E11" s="4">
        <v>843</v>
      </c>
      <c r="F11" s="4">
        <v>649</v>
      </c>
      <c r="G11" s="4">
        <v>2111</v>
      </c>
    </row>
    <row r="12" spans="2:7" x14ac:dyDescent="0.2">
      <c r="B12" s="4" t="s">
        <v>18</v>
      </c>
      <c r="C12" s="4">
        <v>177</v>
      </c>
      <c r="D12" s="4">
        <v>620</v>
      </c>
      <c r="E12" s="4">
        <v>765</v>
      </c>
      <c r="F12" s="4">
        <v>524</v>
      </c>
      <c r="G12" s="4">
        <v>2086</v>
      </c>
    </row>
    <row r="13" spans="2:7" x14ac:dyDescent="0.2">
      <c r="B13" s="4" t="s">
        <v>19</v>
      </c>
      <c r="C13" s="4">
        <v>165</v>
      </c>
      <c r="D13" s="4">
        <v>449</v>
      </c>
      <c r="E13" s="4">
        <v>735</v>
      </c>
      <c r="F13" s="4">
        <v>657</v>
      </c>
      <c r="G13" s="4">
        <v>2006</v>
      </c>
    </row>
    <row r="14" spans="2:7" x14ac:dyDescent="0.2">
      <c r="B14" s="4" t="s">
        <v>20</v>
      </c>
      <c r="C14" s="4">
        <v>230</v>
      </c>
      <c r="D14" s="4">
        <v>327</v>
      </c>
      <c r="E14" s="4">
        <v>691</v>
      </c>
      <c r="F14" s="4">
        <v>575</v>
      </c>
      <c r="G14" s="4">
        <v>1823</v>
      </c>
    </row>
    <row r="15" spans="2:7" ht="17" thickBot="1" x14ac:dyDescent="0.25">
      <c r="B15" s="5" t="s">
        <v>21</v>
      </c>
      <c r="C15" s="5">
        <v>98</v>
      </c>
      <c r="D15" s="5">
        <v>261</v>
      </c>
      <c r="E15" s="5">
        <v>552</v>
      </c>
      <c r="F15" s="5">
        <v>273</v>
      </c>
      <c r="G15" s="5">
        <v>1184</v>
      </c>
    </row>
    <row r="16" spans="2:7" ht="17" thickBot="1" x14ac:dyDescent="0.25">
      <c r="B16" s="1"/>
      <c r="C16" s="1"/>
      <c r="D16" s="1"/>
      <c r="E16" s="1"/>
      <c r="F16" s="1"/>
      <c r="G16" s="1"/>
    </row>
    <row r="17" spans="2:7" ht="17" thickBot="1" x14ac:dyDescent="0.25">
      <c r="B17" s="2" t="s">
        <v>66</v>
      </c>
      <c r="C17" s="2" t="s">
        <v>4</v>
      </c>
      <c r="D17" s="2" t="s">
        <v>5</v>
      </c>
      <c r="E17" s="2" t="s">
        <v>6</v>
      </c>
      <c r="F17" s="2" t="s">
        <v>7</v>
      </c>
      <c r="G17" s="1"/>
    </row>
    <row r="18" spans="2:7" x14ac:dyDescent="0.2">
      <c r="B18" s="3" t="s">
        <v>9</v>
      </c>
      <c r="C18" s="3">
        <v>9.5</v>
      </c>
      <c r="D18" s="3">
        <v>24.7</v>
      </c>
      <c r="E18" s="3">
        <v>39.4</v>
      </c>
      <c r="F18" s="3">
        <v>26.3</v>
      </c>
      <c r="G18" s="1"/>
    </row>
    <row r="19" spans="2:7" x14ac:dyDescent="0.2">
      <c r="B19" s="4" t="s">
        <v>10</v>
      </c>
      <c r="C19" s="4">
        <v>9.8000000000000007</v>
      </c>
      <c r="D19" s="4">
        <v>20.9</v>
      </c>
      <c r="E19" s="4">
        <v>39.200000000000003</v>
      </c>
      <c r="F19" s="4">
        <v>30.1</v>
      </c>
      <c r="G19" s="1"/>
    </row>
    <row r="20" spans="2:7" x14ac:dyDescent="0.2">
      <c r="B20" s="4" t="s">
        <v>11</v>
      </c>
      <c r="C20" s="4">
        <v>8.1999999999999993</v>
      </c>
      <c r="D20" s="4">
        <v>23.1</v>
      </c>
      <c r="E20" s="4">
        <v>34.200000000000003</v>
      </c>
      <c r="F20" s="4">
        <v>34.5</v>
      </c>
      <c r="G20" s="1"/>
    </row>
    <row r="21" spans="2:7" x14ac:dyDescent="0.2">
      <c r="B21" s="4" t="s">
        <v>12</v>
      </c>
      <c r="C21" s="4">
        <v>10.8</v>
      </c>
      <c r="D21" s="4">
        <v>17.600000000000001</v>
      </c>
      <c r="E21" s="4">
        <v>41.6</v>
      </c>
      <c r="F21" s="4">
        <v>30</v>
      </c>
      <c r="G21" s="1"/>
    </row>
    <row r="22" spans="2:7" x14ac:dyDescent="0.2">
      <c r="B22" s="4" t="s">
        <v>13</v>
      </c>
      <c r="C22" s="4">
        <v>7.3</v>
      </c>
      <c r="D22" s="4">
        <v>24.2</v>
      </c>
      <c r="E22" s="4">
        <v>32.9</v>
      </c>
      <c r="F22" s="4">
        <v>35.6</v>
      </c>
      <c r="G22" s="1"/>
    </row>
    <row r="23" spans="2:7" x14ac:dyDescent="0.2">
      <c r="B23" s="4" t="s">
        <v>14</v>
      </c>
      <c r="C23" s="4">
        <v>7</v>
      </c>
      <c r="D23" s="4">
        <v>21.3</v>
      </c>
      <c r="E23" s="4">
        <v>36.299999999999997</v>
      </c>
      <c r="F23" s="4">
        <v>35.4</v>
      </c>
      <c r="G23" s="1"/>
    </row>
    <row r="24" spans="2:7" x14ac:dyDescent="0.2">
      <c r="B24" s="4" t="s">
        <v>15</v>
      </c>
      <c r="C24" s="4">
        <v>10.8</v>
      </c>
      <c r="D24" s="4">
        <v>19.100000000000001</v>
      </c>
      <c r="E24" s="4">
        <v>39</v>
      </c>
      <c r="F24" s="4">
        <v>31.1</v>
      </c>
      <c r="G24" s="1"/>
    </row>
    <row r="25" spans="2:7" x14ac:dyDescent="0.2">
      <c r="B25" s="4" t="s">
        <v>16</v>
      </c>
      <c r="C25" s="4">
        <v>8.5</v>
      </c>
      <c r="D25" s="4">
        <v>19.5</v>
      </c>
      <c r="E25" s="4">
        <v>37.299999999999997</v>
      </c>
      <c r="F25" s="4">
        <v>34.799999999999997</v>
      </c>
      <c r="G25" s="1"/>
    </row>
    <row r="26" spans="2:7" x14ac:dyDescent="0.2">
      <c r="B26" s="4" t="s">
        <v>17</v>
      </c>
      <c r="C26" s="4">
        <v>11.6</v>
      </c>
      <c r="D26" s="4">
        <v>17.8</v>
      </c>
      <c r="E26" s="4">
        <v>39.9</v>
      </c>
      <c r="F26" s="4">
        <v>30.7</v>
      </c>
      <c r="G26" s="1"/>
    </row>
    <row r="27" spans="2:7" x14ac:dyDescent="0.2">
      <c r="B27" s="4" t="s">
        <v>18</v>
      </c>
      <c r="C27" s="4">
        <v>8.5</v>
      </c>
      <c r="D27" s="4">
        <v>29.7</v>
      </c>
      <c r="E27" s="4">
        <v>36.700000000000003</v>
      </c>
      <c r="F27" s="4">
        <v>25.1</v>
      </c>
      <c r="G27" s="1"/>
    </row>
    <row r="28" spans="2:7" x14ac:dyDescent="0.2">
      <c r="B28" s="4" t="s">
        <v>19</v>
      </c>
      <c r="C28" s="4">
        <v>8.1999999999999993</v>
      </c>
      <c r="D28" s="4">
        <v>22.4</v>
      </c>
      <c r="E28" s="4">
        <v>36.6</v>
      </c>
      <c r="F28" s="4">
        <v>32.799999999999997</v>
      </c>
      <c r="G28" s="1"/>
    </row>
    <row r="29" spans="2:7" x14ac:dyDescent="0.2">
      <c r="B29" s="4" t="s">
        <v>20</v>
      </c>
      <c r="C29" s="4">
        <v>12.6</v>
      </c>
      <c r="D29" s="4">
        <v>17.899999999999999</v>
      </c>
      <c r="E29" s="4">
        <v>37.9</v>
      </c>
      <c r="F29" s="4">
        <v>31.5</v>
      </c>
      <c r="G29" s="1"/>
    </row>
    <row r="30" spans="2:7" ht="17" thickBot="1" x14ac:dyDescent="0.25">
      <c r="B30" s="5" t="s">
        <v>21</v>
      </c>
      <c r="C30" s="5">
        <v>8.3000000000000007</v>
      </c>
      <c r="D30" s="5">
        <v>22</v>
      </c>
      <c r="E30" s="5">
        <v>46.6</v>
      </c>
      <c r="F30" s="5">
        <v>23.1</v>
      </c>
      <c r="G30" s="1"/>
    </row>
    <row r="31" spans="2:7" ht="17" thickBot="1" x14ac:dyDescent="0.25">
      <c r="B31" s="1"/>
      <c r="C31" s="1"/>
      <c r="D31" s="1"/>
      <c r="E31" s="1"/>
      <c r="F31" s="1"/>
      <c r="G31" s="1"/>
    </row>
    <row r="32" spans="2:7" ht="17" thickBot="1" x14ac:dyDescent="0.25">
      <c r="B32" s="2" t="s">
        <v>66</v>
      </c>
      <c r="C32" s="12" t="s">
        <v>61</v>
      </c>
      <c r="D32" s="2" t="s">
        <v>54</v>
      </c>
      <c r="E32" s="1"/>
      <c r="F32" s="1"/>
      <c r="G32" s="1"/>
    </row>
    <row r="33" spans="2:7" x14ac:dyDescent="0.2">
      <c r="B33" s="6" t="s">
        <v>9</v>
      </c>
      <c r="C33" s="3">
        <f>C18+E18</f>
        <v>48.9</v>
      </c>
      <c r="D33" s="9">
        <f>D18+F18</f>
        <v>51</v>
      </c>
      <c r="E33" s="1"/>
      <c r="F33" s="1"/>
      <c r="G33" s="1"/>
    </row>
    <row r="34" spans="2:7" x14ac:dyDescent="0.2">
      <c r="B34" s="7" t="s">
        <v>10</v>
      </c>
      <c r="C34" s="4">
        <f t="shared" ref="C34:D45" si="0">C19+E19</f>
        <v>49</v>
      </c>
      <c r="D34" s="10">
        <f t="shared" si="0"/>
        <v>51</v>
      </c>
      <c r="E34" s="1"/>
      <c r="F34" s="1"/>
      <c r="G34" s="1"/>
    </row>
    <row r="35" spans="2:7" x14ac:dyDescent="0.2">
      <c r="B35" s="7" t="s">
        <v>11</v>
      </c>
      <c r="C35" s="4">
        <f t="shared" si="0"/>
        <v>42.400000000000006</v>
      </c>
      <c r="D35" s="10">
        <f t="shared" si="0"/>
        <v>57.6</v>
      </c>
      <c r="E35" s="1"/>
      <c r="F35" s="1"/>
      <c r="G35" s="1"/>
    </row>
    <row r="36" spans="2:7" x14ac:dyDescent="0.2">
      <c r="B36" s="7" t="s">
        <v>12</v>
      </c>
      <c r="C36" s="4">
        <f t="shared" si="0"/>
        <v>52.400000000000006</v>
      </c>
      <c r="D36" s="10">
        <f t="shared" si="0"/>
        <v>47.6</v>
      </c>
      <c r="E36" s="1"/>
      <c r="F36" s="1"/>
      <c r="G36" s="1"/>
    </row>
    <row r="37" spans="2:7" x14ac:dyDescent="0.2">
      <c r="B37" s="7" t="s">
        <v>13</v>
      </c>
      <c r="C37" s="4">
        <f t="shared" si="0"/>
        <v>40.199999999999996</v>
      </c>
      <c r="D37" s="10">
        <f t="shared" si="0"/>
        <v>59.8</v>
      </c>
      <c r="E37" s="1"/>
      <c r="F37" s="1"/>
      <c r="G37" s="1"/>
    </row>
    <row r="38" spans="2:7" x14ac:dyDescent="0.2">
      <c r="B38" s="7" t="s">
        <v>14</v>
      </c>
      <c r="C38" s="4">
        <f t="shared" si="0"/>
        <v>43.3</v>
      </c>
      <c r="D38" s="10">
        <f t="shared" si="0"/>
        <v>56.7</v>
      </c>
      <c r="E38" s="1"/>
      <c r="F38" s="1"/>
      <c r="G38" s="1"/>
    </row>
    <row r="39" spans="2:7" x14ac:dyDescent="0.2">
      <c r="B39" s="7" t="s">
        <v>15</v>
      </c>
      <c r="C39" s="4">
        <f t="shared" si="0"/>
        <v>49.8</v>
      </c>
      <c r="D39" s="10">
        <f t="shared" si="0"/>
        <v>50.2</v>
      </c>
      <c r="E39" s="1"/>
      <c r="F39" s="1"/>
      <c r="G39" s="1"/>
    </row>
    <row r="40" spans="2:7" x14ac:dyDescent="0.2">
      <c r="B40" s="7" t="s">
        <v>16</v>
      </c>
      <c r="C40" s="4">
        <f t="shared" si="0"/>
        <v>45.8</v>
      </c>
      <c r="D40" s="10">
        <f t="shared" si="0"/>
        <v>54.3</v>
      </c>
      <c r="E40" s="1"/>
      <c r="F40" s="1"/>
      <c r="G40" s="1"/>
    </row>
    <row r="41" spans="2:7" x14ac:dyDescent="0.2">
      <c r="B41" s="7" t="s">
        <v>17</v>
      </c>
      <c r="C41" s="4">
        <f t="shared" si="0"/>
        <v>51.5</v>
      </c>
      <c r="D41" s="10">
        <f t="shared" si="0"/>
        <v>48.5</v>
      </c>
      <c r="E41" s="1"/>
      <c r="F41" s="1"/>
      <c r="G41" s="1"/>
    </row>
    <row r="42" spans="2:7" x14ac:dyDescent="0.2">
      <c r="B42" s="7" t="s">
        <v>18</v>
      </c>
      <c r="C42" s="4">
        <f t="shared" si="0"/>
        <v>45.2</v>
      </c>
      <c r="D42" s="10">
        <f t="shared" si="0"/>
        <v>54.8</v>
      </c>
      <c r="E42" s="1"/>
      <c r="F42" s="1"/>
      <c r="G42" s="1"/>
    </row>
    <row r="43" spans="2:7" x14ac:dyDescent="0.2">
      <c r="B43" s="7" t="s">
        <v>19</v>
      </c>
      <c r="C43" s="4">
        <f t="shared" si="0"/>
        <v>44.8</v>
      </c>
      <c r="D43" s="10">
        <f t="shared" si="0"/>
        <v>55.199999999999996</v>
      </c>
      <c r="E43" s="1"/>
      <c r="F43" s="1"/>
      <c r="G43" s="1"/>
    </row>
    <row r="44" spans="2:7" x14ac:dyDescent="0.2">
      <c r="B44" s="7" t="s">
        <v>20</v>
      </c>
      <c r="C44" s="4">
        <f t="shared" si="0"/>
        <v>50.5</v>
      </c>
      <c r="D44" s="10">
        <f t="shared" si="0"/>
        <v>49.4</v>
      </c>
      <c r="E44" s="1"/>
      <c r="F44" s="1"/>
      <c r="G44" s="1"/>
    </row>
    <row r="45" spans="2:7" ht="17" thickBot="1" x14ac:dyDescent="0.25">
      <c r="B45" s="8" t="s">
        <v>21</v>
      </c>
      <c r="C45" s="5">
        <f t="shared" si="0"/>
        <v>54.900000000000006</v>
      </c>
      <c r="D45" s="11">
        <f t="shared" si="0"/>
        <v>45.1</v>
      </c>
      <c r="E45" s="1"/>
      <c r="F45" s="1"/>
      <c r="G45" s="1"/>
    </row>
  </sheetData>
  <conditionalFormatting sqref="D33:D45">
    <cfRule type="colorScale" priority="2">
      <colorScale>
        <cfvo type="min"/>
        <cfvo type="max"/>
        <color rgb="FFFCFCFF"/>
        <color rgb="FFF8696B"/>
      </colorScale>
    </cfRule>
  </conditionalFormatting>
  <conditionalFormatting sqref="C33:C45">
    <cfRule type="colorScale" priority="1">
      <colorScale>
        <cfvo type="min"/>
        <cfvo type="max"/>
        <color rgb="FFFCFCFF"/>
        <color rgb="FF63BE7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8806C-AA90-5942-A762-D3CCA23EBF38}">
  <dimension ref="B1:G51"/>
  <sheetViews>
    <sheetView topLeftCell="A19" workbookViewId="0">
      <selection activeCell="F48" sqref="F48"/>
    </sheetView>
  </sheetViews>
  <sheetFormatPr baseColWidth="10" defaultRowHeight="16" x14ac:dyDescent="0.2"/>
  <cols>
    <col min="1" max="1" width="5.33203125" customWidth="1"/>
    <col min="3" max="3" width="12.1640625" bestFit="1" customWidth="1"/>
    <col min="6" max="6" width="11.83203125" bestFit="1" customWidth="1"/>
    <col min="7" max="7" width="12.83203125" bestFit="1" customWidth="1"/>
  </cols>
  <sheetData>
    <row r="1" spans="2:7" ht="17" thickBot="1" x14ac:dyDescent="0.25"/>
    <row r="2" spans="2:7" ht="17" thickBot="1" x14ac:dyDescent="0.25">
      <c r="B2" s="2" t="s">
        <v>65</v>
      </c>
      <c r="C2" s="2" t="s">
        <v>0</v>
      </c>
      <c r="D2" s="2" t="s">
        <v>1</v>
      </c>
      <c r="E2" s="2" t="s">
        <v>2</v>
      </c>
      <c r="F2" s="2" t="s">
        <v>3</v>
      </c>
      <c r="G2" s="2" t="s">
        <v>57</v>
      </c>
    </row>
    <row r="3" spans="2:7" x14ac:dyDescent="0.2">
      <c r="B3" s="3" t="s">
        <v>29</v>
      </c>
      <c r="C3" s="3">
        <v>168</v>
      </c>
      <c r="D3" s="3">
        <v>916</v>
      </c>
      <c r="E3" s="3">
        <v>996</v>
      </c>
      <c r="F3" s="3">
        <v>1231</v>
      </c>
      <c r="G3" s="3">
        <v>3311</v>
      </c>
    </row>
    <row r="4" spans="2:7" x14ac:dyDescent="0.2">
      <c r="B4" s="14" t="s">
        <v>64</v>
      </c>
      <c r="C4" s="4">
        <v>191</v>
      </c>
      <c r="D4" s="4">
        <v>912</v>
      </c>
      <c r="E4" s="4">
        <v>1167</v>
      </c>
      <c r="F4" s="4">
        <v>1246</v>
      </c>
      <c r="G4" s="4">
        <v>3516</v>
      </c>
    </row>
    <row r="5" spans="2:7" x14ac:dyDescent="0.2">
      <c r="B5" s="4" t="s">
        <v>31</v>
      </c>
      <c r="C5" s="4">
        <v>263</v>
      </c>
      <c r="D5" s="4">
        <v>844</v>
      </c>
      <c r="E5" s="4">
        <v>1226</v>
      </c>
      <c r="F5" s="4">
        <v>1321</v>
      </c>
      <c r="G5" s="4">
        <v>3654</v>
      </c>
    </row>
    <row r="6" spans="2:7" x14ac:dyDescent="0.2">
      <c r="B6" s="4" t="s">
        <v>30</v>
      </c>
      <c r="C6" s="4">
        <v>315</v>
      </c>
      <c r="D6" s="4">
        <v>784</v>
      </c>
      <c r="E6" s="4">
        <v>1345</v>
      </c>
      <c r="F6" s="4">
        <v>1095</v>
      </c>
      <c r="G6" s="4">
        <v>3539</v>
      </c>
    </row>
    <row r="7" spans="2:7" x14ac:dyDescent="0.2">
      <c r="B7" s="4" t="s">
        <v>28</v>
      </c>
      <c r="C7" s="4">
        <v>293</v>
      </c>
      <c r="D7" s="4">
        <v>697</v>
      </c>
      <c r="E7" s="4">
        <v>1224</v>
      </c>
      <c r="F7" s="4">
        <v>1042</v>
      </c>
      <c r="G7" s="4">
        <v>3256</v>
      </c>
    </row>
    <row r="8" spans="2:7" x14ac:dyDescent="0.2">
      <c r="B8" s="4" t="s">
        <v>27</v>
      </c>
      <c r="C8" s="4">
        <v>297</v>
      </c>
      <c r="D8" s="4">
        <v>701</v>
      </c>
      <c r="E8" s="4">
        <v>1227</v>
      </c>
      <c r="F8" s="4">
        <v>899</v>
      </c>
      <c r="G8" s="4">
        <v>3124</v>
      </c>
    </row>
    <row r="9" spans="2:7" x14ac:dyDescent="0.2">
      <c r="B9" s="4" t="s">
        <v>26</v>
      </c>
      <c r="C9" s="4">
        <v>299</v>
      </c>
      <c r="D9" s="4">
        <v>538</v>
      </c>
      <c r="E9" s="4">
        <v>1209</v>
      </c>
      <c r="F9" s="4">
        <v>859</v>
      </c>
      <c r="G9" s="4">
        <v>2905</v>
      </c>
    </row>
    <row r="10" spans="2:7" x14ac:dyDescent="0.2">
      <c r="B10" s="4" t="s">
        <v>25</v>
      </c>
      <c r="C10" s="4">
        <v>313</v>
      </c>
      <c r="D10" s="4">
        <v>599</v>
      </c>
      <c r="E10" s="4">
        <v>1170</v>
      </c>
      <c r="F10" s="4">
        <v>797</v>
      </c>
      <c r="G10" s="4">
        <v>2879</v>
      </c>
    </row>
    <row r="11" spans="2:7" x14ac:dyDescent="0.2">
      <c r="B11" s="4" t="s">
        <v>24</v>
      </c>
      <c r="C11" s="4">
        <v>328</v>
      </c>
      <c r="D11" s="4">
        <v>495</v>
      </c>
      <c r="E11" s="4">
        <v>1165</v>
      </c>
      <c r="F11" s="4">
        <v>774</v>
      </c>
      <c r="G11" s="4">
        <v>2762</v>
      </c>
    </row>
    <row r="12" spans="2:7" x14ac:dyDescent="0.2">
      <c r="B12" s="4" t="s">
        <v>23</v>
      </c>
      <c r="C12" s="4">
        <v>358</v>
      </c>
      <c r="D12" s="4">
        <v>421</v>
      </c>
      <c r="E12" s="4">
        <v>1101</v>
      </c>
      <c r="F12" s="4">
        <v>656</v>
      </c>
      <c r="G12" s="4">
        <v>2536</v>
      </c>
    </row>
    <row r="13" spans="2:7" ht="17" thickBot="1" x14ac:dyDescent="0.25">
      <c r="B13" s="5" t="s">
        <v>22</v>
      </c>
      <c r="C13" s="5">
        <v>199</v>
      </c>
      <c r="D13" s="5">
        <v>145</v>
      </c>
      <c r="E13" s="5">
        <v>531</v>
      </c>
      <c r="F13" s="5">
        <v>236</v>
      </c>
      <c r="G13" s="5">
        <v>1111</v>
      </c>
    </row>
    <row r="14" spans="2:7" ht="17" thickBot="1" x14ac:dyDescent="0.25"/>
    <row r="15" spans="2:7" ht="17" thickBot="1" x14ac:dyDescent="0.25">
      <c r="B15" s="2" t="s">
        <v>65</v>
      </c>
      <c r="C15" s="2" t="s">
        <v>4</v>
      </c>
      <c r="D15" s="2" t="s">
        <v>5</v>
      </c>
      <c r="E15" s="2" t="s">
        <v>6</v>
      </c>
      <c r="F15" s="2" t="s">
        <v>7</v>
      </c>
    </row>
    <row r="16" spans="2:7" x14ac:dyDescent="0.2">
      <c r="B16" s="3" t="s">
        <v>29</v>
      </c>
      <c r="C16" s="3">
        <v>5.0999999999999996</v>
      </c>
      <c r="D16" s="3">
        <v>27.7</v>
      </c>
      <c r="E16" s="3">
        <v>30.1</v>
      </c>
      <c r="F16" s="3">
        <v>37.200000000000003</v>
      </c>
    </row>
    <row r="17" spans="2:6" x14ac:dyDescent="0.2">
      <c r="B17" s="14" t="s">
        <v>64</v>
      </c>
      <c r="C17" s="4">
        <v>5.4</v>
      </c>
      <c r="D17" s="4">
        <v>25.9</v>
      </c>
      <c r="E17" s="4">
        <v>33.200000000000003</v>
      </c>
      <c r="F17" s="4">
        <v>35.4</v>
      </c>
    </row>
    <row r="18" spans="2:6" x14ac:dyDescent="0.2">
      <c r="B18" s="4" t="s">
        <v>31</v>
      </c>
      <c r="C18" s="4">
        <v>7.2</v>
      </c>
      <c r="D18" s="4">
        <v>23.1</v>
      </c>
      <c r="E18" s="4">
        <v>33.6</v>
      </c>
      <c r="F18" s="4">
        <v>36.200000000000003</v>
      </c>
    </row>
    <row r="19" spans="2:6" x14ac:dyDescent="0.2">
      <c r="B19" s="4" t="s">
        <v>30</v>
      </c>
      <c r="C19" s="4">
        <v>8.9</v>
      </c>
      <c r="D19" s="4">
        <v>22.2</v>
      </c>
      <c r="E19" s="4">
        <v>38</v>
      </c>
      <c r="F19" s="4">
        <v>30.9</v>
      </c>
    </row>
    <row r="20" spans="2:6" x14ac:dyDescent="0.2">
      <c r="B20" s="4" t="s">
        <v>28</v>
      </c>
      <c r="C20" s="4">
        <v>9</v>
      </c>
      <c r="D20" s="4">
        <v>21.4</v>
      </c>
      <c r="E20" s="4">
        <v>37.6</v>
      </c>
      <c r="F20" s="4">
        <v>32</v>
      </c>
    </row>
    <row r="21" spans="2:6" x14ac:dyDescent="0.2">
      <c r="B21" s="4" t="s">
        <v>27</v>
      </c>
      <c r="C21" s="4">
        <v>9.5</v>
      </c>
      <c r="D21" s="4">
        <v>22.4</v>
      </c>
      <c r="E21" s="4">
        <v>39.299999999999997</v>
      </c>
      <c r="F21" s="4">
        <v>28.8</v>
      </c>
    </row>
    <row r="22" spans="2:6" x14ac:dyDescent="0.2">
      <c r="B22" s="4" t="s">
        <v>26</v>
      </c>
      <c r="C22" s="4">
        <v>10.3</v>
      </c>
      <c r="D22" s="4">
        <v>18.5</v>
      </c>
      <c r="E22" s="4">
        <v>41.6</v>
      </c>
      <c r="F22" s="4">
        <v>29.6</v>
      </c>
    </row>
    <row r="23" spans="2:6" x14ac:dyDescent="0.2">
      <c r="B23" s="4" t="s">
        <v>25</v>
      </c>
      <c r="C23" s="4">
        <v>10.9</v>
      </c>
      <c r="D23" s="4">
        <v>20.8</v>
      </c>
      <c r="E23" s="4">
        <v>40.6</v>
      </c>
      <c r="F23" s="4">
        <v>27.7</v>
      </c>
    </row>
    <row r="24" spans="2:6" x14ac:dyDescent="0.2">
      <c r="B24" s="4" t="s">
        <v>24</v>
      </c>
      <c r="C24" s="4">
        <v>11.9</v>
      </c>
      <c r="D24" s="4">
        <v>17.899999999999999</v>
      </c>
      <c r="E24" s="4">
        <v>42.2</v>
      </c>
      <c r="F24" s="4">
        <v>28</v>
      </c>
    </row>
    <row r="25" spans="2:6" x14ac:dyDescent="0.2">
      <c r="B25" s="4" t="s">
        <v>23</v>
      </c>
      <c r="C25" s="4">
        <v>14.1</v>
      </c>
      <c r="D25" s="4">
        <v>16.600000000000001</v>
      </c>
      <c r="E25" s="4">
        <v>43.4</v>
      </c>
      <c r="F25" s="4">
        <v>25.9</v>
      </c>
    </row>
    <row r="26" spans="2:6" ht="17" thickBot="1" x14ac:dyDescent="0.25">
      <c r="B26" s="5" t="s">
        <v>22</v>
      </c>
      <c r="C26" s="5">
        <v>17.899999999999999</v>
      </c>
      <c r="D26" s="5">
        <v>13.1</v>
      </c>
      <c r="E26" s="5">
        <v>47.8</v>
      </c>
      <c r="F26" s="5">
        <v>21.2</v>
      </c>
    </row>
    <row r="27" spans="2:6" ht="17" thickBot="1" x14ac:dyDescent="0.25"/>
    <row r="28" spans="2:6" ht="17" thickBot="1" x14ac:dyDescent="0.25">
      <c r="B28" s="2" t="s">
        <v>65</v>
      </c>
      <c r="C28" s="13" t="s">
        <v>61</v>
      </c>
      <c r="D28" s="12" t="s">
        <v>54</v>
      </c>
    </row>
    <row r="29" spans="2:6" x14ac:dyDescent="0.2">
      <c r="B29" s="3" t="s">
        <v>29</v>
      </c>
      <c r="C29" s="3">
        <f>C16+E16</f>
        <v>35.200000000000003</v>
      </c>
      <c r="D29" s="3">
        <f>D16+F16</f>
        <v>64.900000000000006</v>
      </c>
    </row>
    <row r="30" spans="2:6" x14ac:dyDescent="0.2">
      <c r="B30" s="14" t="s">
        <v>64</v>
      </c>
      <c r="C30" s="4">
        <f t="shared" ref="C30:D39" si="0">C17+E17</f>
        <v>38.6</v>
      </c>
      <c r="D30" s="4">
        <f t="shared" si="0"/>
        <v>61.3</v>
      </c>
    </row>
    <row r="31" spans="2:6" x14ac:dyDescent="0.2">
      <c r="B31" s="4" t="s">
        <v>31</v>
      </c>
      <c r="C31" s="4">
        <f t="shared" si="0"/>
        <v>40.800000000000004</v>
      </c>
      <c r="D31" s="4">
        <f t="shared" si="0"/>
        <v>59.300000000000004</v>
      </c>
    </row>
    <row r="32" spans="2:6" x14ac:dyDescent="0.2">
      <c r="B32" s="4" t="s">
        <v>30</v>
      </c>
      <c r="C32" s="4">
        <f t="shared" si="0"/>
        <v>46.9</v>
      </c>
      <c r="D32" s="4">
        <f t="shared" si="0"/>
        <v>53.099999999999994</v>
      </c>
    </row>
    <row r="33" spans="2:6" x14ac:dyDescent="0.2">
      <c r="B33" s="4" t="s">
        <v>28</v>
      </c>
      <c r="C33" s="4">
        <f t="shared" si="0"/>
        <v>46.6</v>
      </c>
      <c r="D33" s="4">
        <f t="shared" si="0"/>
        <v>53.4</v>
      </c>
    </row>
    <row r="34" spans="2:6" x14ac:dyDescent="0.2">
      <c r="B34" s="4" t="s">
        <v>27</v>
      </c>
      <c r="C34" s="4">
        <f t="shared" si="0"/>
        <v>48.8</v>
      </c>
      <c r="D34" s="4">
        <f t="shared" si="0"/>
        <v>51.2</v>
      </c>
    </row>
    <row r="35" spans="2:6" x14ac:dyDescent="0.2">
      <c r="B35" s="4" t="s">
        <v>26</v>
      </c>
      <c r="C35" s="4">
        <f t="shared" si="0"/>
        <v>51.900000000000006</v>
      </c>
      <c r="D35" s="4">
        <f t="shared" si="0"/>
        <v>48.1</v>
      </c>
    </row>
    <row r="36" spans="2:6" x14ac:dyDescent="0.2">
      <c r="B36" s="4" t="s">
        <v>25</v>
      </c>
      <c r="C36" s="4">
        <f t="shared" si="0"/>
        <v>51.5</v>
      </c>
      <c r="D36" s="4">
        <f t="shared" si="0"/>
        <v>48.5</v>
      </c>
    </row>
    <row r="37" spans="2:6" x14ac:dyDescent="0.2">
      <c r="B37" s="4" t="s">
        <v>24</v>
      </c>
      <c r="C37" s="4">
        <f t="shared" si="0"/>
        <v>54.1</v>
      </c>
      <c r="D37" s="4">
        <f t="shared" si="0"/>
        <v>45.9</v>
      </c>
    </row>
    <row r="38" spans="2:6" x14ac:dyDescent="0.2">
      <c r="B38" s="4" t="s">
        <v>23</v>
      </c>
      <c r="C38" s="4">
        <f t="shared" si="0"/>
        <v>57.5</v>
      </c>
      <c r="D38" s="4">
        <f t="shared" si="0"/>
        <v>42.5</v>
      </c>
    </row>
    <row r="39" spans="2:6" ht="17" thickBot="1" x14ac:dyDescent="0.25">
      <c r="B39" s="5" t="s">
        <v>22</v>
      </c>
      <c r="C39" s="5">
        <f t="shared" si="0"/>
        <v>65.699999999999989</v>
      </c>
      <c r="D39" s="5">
        <f t="shared" si="0"/>
        <v>34.299999999999997</v>
      </c>
    </row>
    <row r="40" spans="2:6" ht="17" thickBot="1" x14ac:dyDescent="0.25"/>
    <row r="41" spans="2:6" ht="17" thickBot="1" x14ac:dyDescent="0.25">
      <c r="B41" s="16" t="s">
        <v>73</v>
      </c>
      <c r="C41" s="13" t="s">
        <v>61</v>
      </c>
      <c r="E41" cm="1">
        <f t="array" ref="E41:F45">LINEST(C42:C51,B42:B51,1,1)</f>
        <v>0.23024242424242425</v>
      </c>
      <c r="F41">
        <v>35.677878787878797</v>
      </c>
    </row>
    <row r="42" spans="2:6" x14ac:dyDescent="0.2">
      <c r="B42">
        <v>5</v>
      </c>
      <c r="C42" s="3">
        <f>C29+E29</f>
        <v>35.200000000000003</v>
      </c>
      <c r="E42">
        <v>1.6905940838327131E-2</v>
      </c>
      <c r="F42">
        <v>0.97484410469904459</v>
      </c>
    </row>
    <row r="43" spans="2:6" x14ac:dyDescent="0.2">
      <c r="B43">
        <v>15</v>
      </c>
      <c r="C43" s="4">
        <f t="shared" ref="C43:C51" si="1">C30+E30</f>
        <v>38.6</v>
      </c>
      <c r="E43">
        <v>0.95865159356453922</v>
      </c>
      <c r="F43">
        <v>1.5355583329653715</v>
      </c>
    </row>
    <row r="44" spans="2:6" x14ac:dyDescent="0.2">
      <c r="B44">
        <v>25</v>
      </c>
      <c r="C44" s="4">
        <f t="shared" si="1"/>
        <v>40.800000000000004</v>
      </c>
      <c r="E44">
        <v>185.47783118285119</v>
      </c>
      <c r="F44">
        <v>8</v>
      </c>
    </row>
    <row r="45" spans="2:6" x14ac:dyDescent="0.2">
      <c r="B45">
        <v>35</v>
      </c>
      <c r="C45" s="4">
        <f t="shared" si="1"/>
        <v>46.9</v>
      </c>
      <c r="E45">
        <v>437.34548484848477</v>
      </c>
      <c r="F45">
        <v>18.863515151515127</v>
      </c>
    </row>
    <row r="46" spans="2:6" x14ac:dyDescent="0.2">
      <c r="B46">
        <v>45</v>
      </c>
      <c r="C46" s="4">
        <f t="shared" si="1"/>
        <v>46.6</v>
      </c>
    </row>
    <row r="47" spans="2:6" x14ac:dyDescent="0.2">
      <c r="B47">
        <v>55</v>
      </c>
      <c r="C47" s="4">
        <f t="shared" si="1"/>
        <v>48.8</v>
      </c>
    </row>
    <row r="48" spans="2:6" x14ac:dyDescent="0.2">
      <c r="B48">
        <v>65</v>
      </c>
      <c r="C48" s="4">
        <f t="shared" si="1"/>
        <v>51.900000000000006</v>
      </c>
    </row>
    <row r="49" spans="2:3" x14ac:dyDescent="0.2">
      <c r="B49">
        <v>75</v>
      </c>
      <c r="C49" s="4">
        <f t="shared" si="1"/>
        <v>51.5</v>
      </c>
    </row>
    <row r="50" spans="2:3" x14ac:dyDescent="0.2">
      <c r="B50">
        <v>85</v>
      </c>
      <c r="C50" s="4">
        <f t="shared" si="1"/>
        <v>54.1</v>
      </c>
    </row>
    <row r="51" spans="2:3" x14ac:dyDescent="0.2">
      <c r="B51">
        <v>95</v>
      </c>
      <c r="C51" s="4">
        <f t="shared" si="1"/>
        <v>57.5</v>
      </c>
    </row>
  </sheetData>
  <conditionalFormatting sqref="D29:D39">
    <cfRule type="colorScale" priority="3">
      <colorScale>
        <cfvo type="min"/>
        <cfvo type="max"/>
        <color rgb="FFFCFCFF"/>
        <color rgb="FFF8696B"/>
      </colorScale>
    </cfRule>
  </conditionalFormatting>
  <conditionalFormatting sqref="C29:C39">
    <cfRule type="colorScale" priority="2">
      <colorScale>
        <cfvo type="min"/>
        <cfvo type="max"/>
        <color rgb="FFFCFCFF"/>
        <color rgb="FF63BE7B"/>
      </colorScale>
    </cfRule>
  </conditionalFormatting>
  <conditionalFormatting sqref="C42:C51">
    <cfRule type="colorScale" priority="1">
      <colorScale>
        <cfvo type="min"/>
        <cfvo type="max"/>
        <color rgb="FFFCFCFF"/>
        <color rgb="FF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5CD06-3AAB-624C-A9FB-22425EF1D790}">
  <dimension ref="B1:G21"/>
  <sheetViews>
    <sheetView workbookViewId="0">
      <selection activeCell="F25" sqref="F25"/>
    </sheetView>
  </sheetViews>
  <sheetFormatPr baseColWidth="10" defaultRowHeight="16" x14ac:dyDescent="0.2"/>
  <cols>
    <col min="2" max="2" width="8.83203125" bestFit="1" customWidth="1"/>
    <col min="3" max="3" width="12.1640625" bestFit="1" customWidth="1"/>
    <col min="6" max="6" width="11.83203125" bestFit="1" customWidth="1"/>
  </cols>
  <sheetData>
    <row r="1" spans="2:7" ht="17" thickBot="1" x14ac:dyDescent="0.25"/>
    <row r="2" spans="2:7" ht="17" thickBot="1" x14ac:dyDescent="0.25">
      <c r="B2" s="2" t="s">
        <v>63</v>
      </c>
      <c r="C2" s="2" t="s">
        <v>0</v>
      </c>
      <c r="D2" s="2" t="s">
        <v>1</v>
      </c>
      <c r="E2" s="2" t="s">
        <v>2</v>
      </c>
      <c r="F2" s="2" t="s">
        <v>3</v>
      </c>
      <c r="G2" s="2" t="s">
        <v>57</v>
      </c>
    </row>
    <row r="3" spans="2:7" x14ac:dyDescent="0.2">
      <c r="B3" s="3" t="s">
        <v>34</v>
      </c>
      <c r="C3" s="3">
        <v>1863</v>
      </c>
      <c r="D3" s="3">
        <v>5231</v>
      </c>
      <c r="E3" s="3">
        <v>8469</v>
      </c>
      <c r="F3" s="3">
        <v>7381</v>
      </c>
      <c r="G3" s="3">
        <v>22944</v>
      </c>
    </row>
    <row r="4" spans="2:7" x14ac:dyDescent="0.2">
      <c r="B4" s="4" t="s">
        <v>33</v>
      </c>
      <c r="C4" s="4">
        <v>1120</v>
      </c>
      <c r="D4" s="4">
        <v>1792</v>
      </c>
      <c r="E4" s="4">
        <v>3800</v>
      </c>
      <c r="F4" s="4">
        <v>2721</v>
      </c>
      <c r="G4" s="4">
        <v>9433</v>
      </c>
    </row>
    <row r="5" spans="2:7" ht="17" thickBot="1" x14ac:dyDescent="0.25">
      <c r="B5" s="5" t="s">
        <v>32</v>
      </c>
      <c r="C5" s="5">
        <v>41</v>
      </c>
      <c r="D5" s="5">
        <v>29</v>
      </c>
      <c r="E5" s="5">
        <v>92</v>
      </c>
      <c r="F5" s="5">
        <v>54</v>
      </c>
      <c r="G5" s="5">
        <v>216</v>
      </c>
    </row>
    <row r="6" spans="2:7" ht="17" thickBot="1" x14ac:dyDescent="0.25"/>
    <row r="7" spans="2:7" ht="17" thickBot="1" x14ac:dyDescent="0.25">
      <c r="B7" s="2" t="s">
        <v>63</v>
      </c>
      <c r="C7" s="2" t="s">
        <v>4</v>
      </c>
      <c r="D7" s="2" t="s">
        <v>5</v>
      </c>
      <c r="E7" s="2" t="s">
        <v>6</v>
      </c>
      <c r="F7" s="2" t="s">
        <v>7</v>
      </c>
    </row>
    <row r="8" spans="2:7" x14ac:dyDescent="0.2">
      <c r="B8" s="3" t="s">
        <v>34</v>
      </c>
      <c r="C8" s="3">
        <v>8.1</v>
      </c>
      <c r="D8" s="3">
        <v>22.8</v>
      </c>
      <c r="E8" s="3">
        <v>36.9</v>
      </c>
      <c r="F8" s="3">
        <v>32.200000000000003</v>
      </c>
    </row>
    <row r="9" spans="2:7" x14ac:dyDescent="0.2">
      <c r="B9" s="4" t="s">
        <v>33</v>
      </c>
      <c r="C9" s="4">
        <v>11.9</v>
      </c>
      <c r="D9" s="4">
        <v>19</v>
      </c>
      <c r="E9" s="4">
        <v>40.299999999999997</v>
      </c>
      <c r="F9" s="4">
        <v>28.8</v>
      </c>
    </row>
    <row r="10" spans="2:7" ht="17" thickBot="1" x14ac:dyDescent="0.25">
      <c r="B10" s="5" t="s">
        <v>32</v>
      </c>
      <c r="C10" s="5">
        <v>19</v>
      </c>
      <c r="D10" s="5">
        <v>13.4</v>
      </c>
      <c r="E10" s="5">
        <v>42.6</v>
      </c>
      <c r="F10" s="5">
        <v>25</v>
      </c>
    </row>
    <row r="11" spans="2:7" ht="17" thickBot="1" x14ac:dyDescent="0.25"/>
    <row r="12" spans="2:7" ht="17" thickBot="1" x14ac:dyDescent="0.25">
      <c r="B12" s="2" t="s">
        <v>63</v>
      </c>
      <c r="C12" s="2" t="s">
        <v>61</v>
      </c>
      <c r="D12" s="2" t="s">
        <v>54</v>
      </c>
    </row>
    <row r="13" spans="2:7" x14ac:dyDescent="0.2">
      <c r="B13" s="3" t="s">
        <v>34</v>
      </c>
      <c r="C13" s="3">
        <f>C8+E8</f>
        <v>45</v>
      </c>
      <c r="D13" s="3">
        <f>D8+F8</f>
        <v>55</v>
      </c>
    </row>
    <row r="14" spans="2:7" x14ac:dyDescent="0.2">
      <c r="B14" s="4" t="s">
        <v>33</v>
      </c>
      <c r="C14" s="4">
        <f t="shared" ref="C14:D14" si="0">C9+E9</f>
        <v>52.199999999999996</v>
      </c>
      <c r="D14" s="4">
        <f t="shared" si="0"/>
        <v>47.8</v>
      </c>
    </row>
    <row r="15" spans="2:7" ht="17" thickBot="1" x14ac:dyDescent="0.25">
      <c r="B15" s="5" t="s">
        <v>32</v>
      </c>
      <c r="C15" s="5">
        <f t="shared" ref="C15:D15" si="1">C10+E10</f>
        <v>61.6</v>
      </c>
      <c r="D15" s="5">
        <f t="shared" si="1"/>
        <v>38.4</v>
      </c>
    </row>
    <row r="16" spans="2:7" ht="17" thickBot="1" x14ac:dyDescent="0.25"/>
    <row r="17" spans="2:6" ht="17" thickBot="1" x14ac:dyDescent="0.25">
      <c r="B17" s="16" t="s">
        <v>72</v>
      </c>
      <c r="C17" s="2" t="s">
        <v>61</v>
      </c>
      <c r="E17" cm="1">
        <f t="array" ref="E17:F21">LINEST(C18:C20,B18:B20,1,1)</f>
        <v>0.34417582417582415</v>
      </c>
      <c r="F17">
        <v>38.305860805860803</v>
      </c>
    </row>
    <row r="18" spans="2:6" x14ac:dyDescent="0.2">
      <c r="B18">
        <v>17.5</v>
      </c>
      <c r="C18" s="3">
        <f>C13+E13</f>
        <v>45</v>
      </c>
      <c r="E18">
        <v>5.8115697426120716E-2</v>
      </c>
      <c r="F18">
        <v>2.7168182092459245</v>
      </c>
    </row>
    <row r="19" spans="2:6" x14ac:dyDescent="0.2">
      <c r="B19">
        <v>45</v>
      </c>
      <c r="C19" s="4">
        <f t="shared" ref="C19:C20" si="2">C14+E14</f>
        <v>52.199999999999996</v>
      </c>
      <c r="E19">
        <v>0.97227849118362852</v>
      </c>
      <c r="F19">
        <v>1.9600590556999862</v>
      </c>
    </row>
    <row r="20" spans="2:6" ht="17" thickBot="1" x14ac:dyDescent="0.25">
      <c r="B20">
        <v>65</v>
      </c>
      <c r="C20" s="5">
        <f t="shared" si="2"/>
        <v>61.6</v>
      </c>
      <c r="E20">
        <v>35.073072595869462</v>
      </c>
      <c r="F20">
        <v>1</v>
      </c>
    </row>
    <row r="21" spans="2:6" x14ac:dyDescent="0.2">
      <c r="E21">
        <v>134.74483516483517</v>
      </c>
      <c r="F21">
        <v>3.8418315018315217</v>
      </c>
    </row>
  </sheetData>
  <conditionalFormatting sqref="C13:C15">
    <cfRule type="colorScale" priority="3">
      <colorScale>
        <cfvo type="min"/>
        <cfvo type="max"/>
        <color rgb="FFFCFCFF"/>
        <color rgb="FF63BE7B"/>
      </colorScale>
    </cfRule>
  </conditionalFormatting>
  <conditionalFormatting sqref="D13:D15">
    <cfRule type="colorScale" priority="2">
      <colorScale>
        <cfvo type="min"/>
        <cfvo type="max"/>
        <color rgb="FFFCFCFF"/>
        <color rgb="FFF8696B"/>
      </colorScale>
    </cfRule>
  </conditionalFormatting>
  <conditionalFormatting sqref="C18:C20">
    <cfRule type="colorScale" priority="1">
      <colorScale>
        <cfvo type="min"/>
        <cfvo type="max"/>
        <color rgb="FFFCFCFF"/>
        <color rgb="FF63BE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99CEA2-A7B5-3140-832C-EF5D40FAA63C}">
  <dimension ref="B1:G12"/>
  <sheetViews>
    <sheetView workbookViewId="0">
      <selection activeCell="B10" sqref="B10:C12"/>
    </sheetView>
  </sheetViews>
  <sheetFormatPr baseColWidth="10" defaultRowHeight="16" x14ac:dyDescent="0.2"/>
  <sheetData>
    <row r="1" spans="2:7" ht="17" thickBot="1" x14ac:dyDescent="0.25"/>
    <row r="2" spans="2:7" ht="17" thickBot="1" x14ac:dyDescent="0.25">
      <c r="B2" s="2" t="s">
        <v>62</v>
      </c>
      <c r="C2" s="2" t="s">
        <v>0</v>
      </c>
      <c r="D2" s="2" t="s">
        <v>1</v>
      </c>
      <c r="E2" s="2" t="s">
        <v>2</v>
      </c>
      <c r="F2" s="2" t="s">
        <v>3</v>
      </c>
      <c r="G2" s="2" t="s">
        <v>8</v>
      </c>
    </row>
    <row r="3" spans="2:7" x14ac:dyDescent="0.2">
      <c r="B3" s="3" t="s">
        <v>36</v>
      </c>
      <c r="C3" s="3">
        <v>1630</v>
      </c>
      <c r="D3" s="3">
        <v>3949</v>
      </c>
      <c r="E3" s="3">
        <v>6626</v>
      </c>
      <c r="F3" s="3">
        <v>5670</v>
      </c>
      <c r="G3" s="3">
        <v>17875</v>
      </c>
    </row>
    <row r="4" spans="2:7" ht="17" thickBot="1" x14ac:dyDescent="0.25">
      <c r="B4" s="5" t="s">
        <v>35</v>
      </c>
      <c r="C4" s="5">
        <v>1394</v>
      </c>
      <c r="D4" s="5">
        <v>3103</v>
      </c>
      <c r="E4" s="5">
        <v>5735</v>
      </c>
      <c r="F4" s="5">
        <v>4486</v>
      </c>
      <c r="G4" s="5">
        <v>14718</v>
      </c>
    </row>
    <row r="5" spans="2:7" ht="17" thickBot="1" x14ac:dyDescent="0.25"/>
    <row r="6" spans="2:7" ht="17" thickBot="1" x14ac:dyDescent="0.25">
      <c r="B6" s="2" t="s">
        <v>62</v>
      </c>
      <c r="C6" s="2" t="s">
        <v>4</v>
      </c>
      <c r="D6" s="2" t="s">
        <v>5</v>
      </c>
      <c r="E6" s="2" t="s">
        <v>6</v>
      </c>
      <c r="F6" s="2" t="s">
        <v>7</v>
      </c>
    </row>
    <row r="7" spans="2:7" x14ac:dyDescent="0.2">
      <c r="B7" s="3" t="s">
        <v>36</v>
      </c>
      <c r="C7" s="3">
        <v>9.1</v>
      </c>
      <c r="D7" s="3">
        <v>22.1</v>
      </c>
      <c r="E7" s="3">
        <v>37.1</v>
      </c>
      <c r="F7" s="3">
        <v>31.7</v>
      </c>
    </row>
    <row r="8" spans="2:7" ht="17" thickBot="1" x14ac:dyDescent="0.25">
      <c r="B8" s="5" t="s">
        <v>35</v>
      </c>
      <c r="C8" s="5">
        <v>9.5</v>
      </c>
      <c r="D8" s="5">
        <v>21.1</v>
      </c>
      <c r="E8" s="5">
        <v>39</v>
      </c>
      <c r="F8" s="5">
        <v>30.5</v>
      </c>
    </row>
    <row r="9" spans="2:7" ht="17" thickBot="1" x14ac:dyDescent="0.25"/>
    <row r="10" spans="2:7" ht="17" thickBot="1" x14ac:dyDescent="0.25">
      <c r="B10" s="2" t="s">
        <v>62</v>
      </c>
      <c r="C10" s="13" t="s">
        <v>61</v>
      </c>
      <c r="D10" s="12" t="s">
        <v>54</v>
      </c>
    </row>
    <row r="11" spans="2:7" x14ac:dyDescent="0.2">
      <c r="B11" s="3" t="s">
        <v>36</v>
      </c>
      <c r="C11" s="3">
        <f>C7+E7</f>
        <v>46.2</v>
      </c>
      <c r="D11" s="3">
        <f>D7+F7</f>
        <v>53.8</v>
      </c>
    </row>
    <row r="12" spans="2:7" ht="17" thickBot="1" x14ac:dyDescent="0.25">
      <c r="B12" s="5" t="s">
        <v>35</v>
      </c>
      <c r="C12" s="5">
        <f>C8+E8</f>
        <v>48.5</v>
      </c>
      <c r="D12" s="5">
        <f>D8+F8</f>
        <v>51.6</v>
      </c>
    </row>
  </sheetData>
  <conditionalFormatting sqref="C11:C12">
    <cfRule type="colorScale" priority="2">
      <colorScale>
        <cfvo type="min"/>
        <cfvo type="max"/>
        <color rgb="FFFCFCFF"/>
        <color rgb="FF63BE7B"/>
      </colorScale>
    </cfRule>
  </conditionalFormatting>
  <conditionalFormatting sqref="D11:D12">
    <cfRule type="colorScale" priority="1">
      <colorScale>
        <cfvo type="min"/>
        <cfvo type="max"/>
        <color rgb="FFFCFCFF"/>
        <color rgb="FFF8696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99DEEA-EEEB-0946-89D3-D58C805F6F29}">
  <dimension ref="B1:G12"/>
  <sheetViews>
    <sheetView workbookViewId="0">
      <selection activeCell="B10" sqref="B10:C12"/>
    </sheetView>
  </sheetViews>
  <sheetFormatPr baseColWidth="10" defaultRowHeight="16" x14ac:dyDescent="0.2"/>
  <cols>
    <col min="3" max="3" width="12.1640625" bestFit="1" customWidth="1"/>
    <col min="6" max="6" width="11.83203125" bestFit="1" customWidth="1"/>
  </cols>
  <sheetData>
    <row r="1" spans="2:7" ht="17" thickBot="1" x14ac:dyDescent="0.25"/>
    <row r="2" spans="2:7" ht="17" thickBot="1" x14ac:dyDescent="0.25">
      <c r="B2" s="2" t="s">
        <v>60</v>
      </c>
      <c r="C2" s="2" t="s">
        <v>0</v>
      </c>
      <c r="D2" s="2" t="s">
        <v>1</v>
      </c>
      <c r="E2" s="2" t="s">
        <v>2</v>
      </c>
      <c r="F2" s="2" t="s">
        <v>3</v>
      </c>
      <c r="G2" s="2" t="s">
        <v>57</v>
      </c>
    </row>
    <row r="3" spans="2:7" x14ac:dyDescent="0.2">
      <c r="B3" s="3" t="s">
        <v>38</v>
      </c>
      <c r="C3" s="3">
        <v>2801</v>
      </c>
      <c r="D3" s="3">
        <v>6340</v>
      </c>
      <c r="E3" s="3">
        <v>11377</v>
      </c>
      <c r="F3" s="3">
        <v>8911</v>
      </c>
      <c r="G3" s="3">
        <v>29429</v>
      </c>
    </row>
    <row r="4" spans="2:7" ht="17" thickBot="1" x14ac:dyDescent="0.25">
      <c r="B4" s="5" t="s">
        <v>37</v>
      </c>
      <c r="C4" s="5">
        <v>223</v>
      </c>
      <c r="D4" s="5">
        <v>712</v>
      </c>
      <c r="E4" s="5">
        <v>984</v>
      </c>
      <c r="F4" s="5">
        <v>1245</v>
      </c>
      <c r="G4" s="5">
        <v>3164</v>
      </c>
    </row>
    <row r="5" spans="2:7" ht="17" thickBot="1" x14ac:dyDescent="0.25"/>
    <row r="6" spans="2:7" ht="17" thickBot="1" x14ac:dyDescent="0.25">
      <c r="B6" s="2" t="s">
        <v>60</v>
      </c>
      <c r="C6" s="2" t="s">
        <v>4</v>
      </c>
      <c r="D6" s="2" t="s">
        <v>5</v>
      </c>
      <c r="E6" s="2" t="s">
        <v>6</v>
      </c>
      <c r="F6" s="2" t="s">
        <v>7</v>
      </c>
    </row>
    <row r="7" spans="2:7" x14ac:dyDescent="0.2">
      <c r="B7" s="3" t="s">
        <v>38</v>
      </c>
      <c r="C7" s="3">
        <v>9.5</v>
      </c>
      <c r="D7" s="3">
        <v>21.5</v>
      </c>
      <c r="E7" s="3">
        <v>38.700000000000003</v>
      </c>
      <c r="F7" s="3">
        <v>30.3</v>
      </c>
    </row>
    <row r="8" spans="2:7" ht="17" thickBot="1" x14ac:dyDescent="0.25">
      <c r="B8" s="5" t="s">
        <v>37</v>
      </c>
      <c r="C8" s="5">
        <v>7</v>
      </c>
      <c r="D8" s="5">
        <v>22.5</v>
      </c>
      <c r="E8" s="5">
        <v>31.1</v>
      </c>
      <c r="F8" s="5">
        <v>39.299999999999997</v>
      </c>
    </row>
    <row r="9" spans="2:7" ht="17" thickBot="1" x14ac:dyDescent="0.25"/>
    <row r="10" spans="2:7" ht="17" thickBot="1" x14ac:dyDescent="0.25">
      <c r="B10" s="2" t="s">
        <v>60</v>
      </c>
      <c r="C10" s="13" t="s">
        <v>61</v>
      </c>
      <c r="D10" s="12" t="s">
        <v>54</v>
      </c>
    </row>
    <row r="11" spans="2:7" x14ac:dyDescent="0.2">
      <c r="B11" s="3" t="s">
        <v>38</v>
      </c>
      <c r="C11" s="3">
        <f>C7+E7</f>
        <v>48.2</v>
      </c>
      <c r="D11" s="3">
        <f>D7+F7</f>
        <v>51.8</v>
      </c>
    </row>
    <row r="12" spans="2:7" ht="17" thickBot="1" x14ac:dyDescent="0.25">
      <c r="B12" s="5" t="s">
        <v>37</v>
      </c>
      <c r="C12" s="5">
        <f>C8+E8</f>
        <v>38.1</v>
      </c>
      <c r="D12" s="5">
        <f>D8+F8</f>
        <v>61.8</v>
      </c>
    </row>
  </sheetData>
  <conditionalFormatting sqref="C11:C12">
    <cfRule type="colorScale" priority="2">
      <colorScale>
        <cfvo type="min"/>
        <cfvo type="max"/>
        <color rgb="FFFCFCFF"/>
        <color rgb="FF63BE7B"/>
      </colorScale>
    </cfRule>
  </conditionalFormatting>
  <conditionalFormatting sqref="D11:D12">
    <cfRule type="colorScale" priority="1">
      <colorScale>
        <cfvo type="min"/>
        <cfvo type="max"/>
        <color rgb="FFFCFCFF"/>
        <color rgb="FFF8696B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BDB2E9-B8F1-0140-820F-FCA834BA5744}">
  <dimension ref="B1:H25"/>
  <sheetViews>
    <sheetView tabSelected="1" workbookViewId="0">
      <selection activeCell="B8" sqref="B8"/>
    </sheetView>
  </sheetViews>
  <sheetFormatPr baseColWidth="10" defaultRowHeight="16" x14ac:dyDescent="0.2"/>
  <cols>
    <col min="2" max="2" width="16.5" bestFit="1" customWidth="1"/>
    <col min="3" max="3" width="11.6640625" bestFit="1" customWidth="1"/>
  </cols>
  <sheetData>
    <row r="1" spans="2:7" ht="17" thickBot="1" x14ac:dyDescent="0.25"/>
    <row r="2" spans="2:7" ht="17" thickBot="1" x14ac:dyDescent="0.25">
      <c r="B2" s="2" t="s">
        <v>59</v>
      </c>
      <c r="C2" s="2" t="s">
        <v>0</v>
      </c>
      <c r="D2" s="2" t="s">
        <v>1</v>
      </c>
      <c r="E2" s="2" t="s">
        <v>2</v>
      </c>
      <c r="F2" s="2" t="s">
        <v>3</v>
      </c>
      <c r="G2" s="2" t="s">
        <v>57</v>
      </c>
    </row>
    <row r="3" spans="2:7" x14ac:dyDescent="0.2">
      <c r="B3" s="3" t="s">
        <v>42</v>
      </c>
      <c r="C3" s="3">
        <v>1164</v>
      </c>
      <c r="D3" s="3">
        <v>1977</v>
      </c>
      <c r="E3" s="3">
        <v>4293</v>
      </c>
      <c r="F3" s="3">
        <v>3826</v>
      </c>
      <c r="G3" s="3">
        <v>11260</v>
      </c>
    </row>
    <row r="4" spans="2:7" x14ac:dyDescent="0.2">
      <c r="B4" s="4" t="s">
        <v>41</v>
      </c>
      <c r="C4" s="4">
        <v>749</v>
      </c>
      <c r="D4" s="4">
        <v>2001</v>
      </c>
      <c r="E4" s="4">
        <v>3726</v>
      </c>
      <c r="F4" s="4">
        <v>2369</v>
      </c>
      <c r="G4" s="4">
        <v>8845</v>
      </c>
    </row>
    <row r="5" spans="2:7" x14ac:dyDescent="0.2">
      <c r="B5" s="4" t="s">
        <v>40</v>
      </c>
      <c r="C5" s="4">
        <v>784</v>
      </c>
      <c r="D5" s="4">
        <v>1833</v>
      </c>
      <c r="E5" s="4">
        <v>2574</v>
      </c>
      <c r="F5" s="4">
        <v>2613</v>
      </c>
      <c r="G5" s="4">
        <v>7804</v>
      </c>
    </row>
    <row r="6" spans="2:7" ht="17" thickBot="1" x14ac:dyDescent="0.25">
      <c r="B6" s="5" t="s">
        <v>39</v>
      </c>
      <c r="C6" s="5">
        <v>327</v>
      </c>
      <c r="D6" s="5">
        <v>1241</v>
      </c>
      <c r="E6" s="5">
        <v>1768</v>
      </c>
      <c r="F6" s="5">
        <v>1348</v>
      </c>
      <c r="G6" s="5">
        <v>4684</v>
      </c>
    </row>
    <row r="7" spans="2:7" ht="17" thickBot="1" x14ac:dyDescent="0.25"/>
    <row r="8" spans="2:7" ht="17" thickBot="1" x14ac:dyDescent="0.25">
      <c r="B8" s="2" t="s">
        <v>59</v>
      </c>
      <c r="C8" s="2" t="s">
        <v>4</v>
      </c>
      <c r="D8" s="2" t="s">
        <v>5</v>
      </c>
      <c r="E8" s="2" t="s">
        <v>6</v>
      </c>
      <c r="F8" s="2" t="s">
        <v>7</v>
      </c>
    </row>
    <row r="9" spans="2:7" x14ac:dyDescent="0.2">
      <c r="B9" s="3" t="s">
        <v>42</v>
      </c>
      <c r="C9" s="3">
        <v>10.3</v>
      </c>
      <c r="D9" s="3">
        <v>17.600000000000001</v>
      </c>
      <c r="E9" s="3">
        <v>38.1</v>
      </c>
      <c r="F9" s="3">
        <v>34</v>
      </c>
    </row>
    <row r="10" spans="2:7" x14ac:dyDescent="0.2">
      <c r="B10" s="4" t="s">
        <v>41</v>
      </c>
      <c r="C10" s="4">
        <v>8.5</v>
      </c>
      <c r="D10" s="4">
        <v>22.6</v>
      </c>
      <c r="E10" s="4">
        <v>42.1</v>
      </c>
      <c r="F10" s="4">
        <v>26.8</v>
      </c>
    </row>
    <row r="11" spans="2:7" x14ac:dyDescent="0.2">
      <c r="B11" s="4" t="s">
        <v>40</v>
      </c>
      <c r="C11" s="4">
        <v>10</v>
      </c>
      <c r="D11" s="4">
        <v>23.5</v>
      </c>
      <c r="E11" s="4">
        <v>33</v>
      </c>
      <c r="F11" s="4">
        <v>33.5</v>
      </c>
    </row>
    <row r="12" spans="2:7" ht="17" thickBot="1" x14ac:dyDescent="0.25">
      <c r="B12" s="5" t="s">
        <v>39</v>
      </c>
      <c r="C12" s="5">
        <v>7</v>
      </c>
      <c r="D12" s="5">
        <v>26.5</v>
      </c>
      <c r="E12" s="5">
        <v>37.700000000000003</v>
      </c>
      <c r="F12" s="5">
        <v>28.8</v>
      </c>
    </row>
    <row r="13" spans="2:7" ht="17" thickBot="1" x14ac:dyDescent="0.25"/>
    <row r="14" spans="2:7" ht="17" thickBot="1" x14ac:dyDescent="0.25">
      <c r="B14" s="2" t="s">
        <v>59</v>
      </c>
      <c r="C14" s="12" t="s">
        <v>61</v>
      </c>
      <c r="D14" s="2" t="s">
        <v>54</v>
      </c>
    </row>
    <row r="15" spans="2:7" x14ac:dyDescent="0.2">
      <c r="B15" s="6" t="s">
        <v>42</v>
      </c>
      <c r="C15" s="3">
        <f>C9+E9</f>
        <v>48.400000000000006</v>
      </c>
      <c r="D15" s="9">
        <f>D9+F9</f>
        <v>51.6</v>
      </c>
    </row>
    <row r="16" spans="2:7" x14ac:dyDescent="0.2">
      <c r="B16" s="7" t="s">
        <v>41</v>
      </c>
      <c r="C16" s="4">
        <f t="shared" ref="C16:D18" si="0">C10+E10</f>
        <v>50.6</v>
      </c>
      <c r="D16" s="10">
        <f t="shared" si="0"/>
        <v>49.400000000000006</v>
      </c>
    </row>
    <row r="17" spans="2:8" x14ac:dyDescent="0.2">
      <c r="B17" s="7" t="s">
        <v>40</v>
      </c>
      <c r="C17" s="4">
        <f>C11+E11</f>
        <v>43</v>
      </c>
      <c r="D17" s="10">
        <f t="shared" si="0"/>
        <v>57</v>
      </c>
    </row>
    <row r="18" spans="2:8" ht="17" thickBot="1" x14ac:dyDescent="0.25">
      <c r="B18" s="8" t="s">
        <v>39</v>
      </c>
      <c r="C18" s="5">
        <f t="shared" si="0"/>
        <v>44.7</v>
      </c>
      <c r="D18" s="11">
        <f t="shared" si="0"/>
        <v>55.3</v>
      </c>
    </row>
    <row r="19" spans="2:8" ht="17" thickBot="1" x14ac:dyDescent="0.25"/>
    <row r="20" spans="2:8" ht="17" thickBot="1" x14ac:dyDescent="0.25">
      <c r="B20" s="2" t="s">
        <v>59</v>
      </c>
      <c r="C20" s="12" t="s">
        <v>61</v>
      </c>
    </row>
    <row r="21" spans="2:8" x14ac:dyDescent="0.2">
      <c r="B21" s="16" t="s">
        <v>74</v>
      </c>
      <c r="C21" s="17">
        <f>G24/H24</f>
        <v>0.49400646605322057</v>
      </c>
    </row>
    <row r="22" spans="2:8" x14ac:dyDescent="0.2">
      <c r="B22" s="16" t="s">
        <v>75</v>
      </c>
      <c r="C22" s="17">
        <f>G25/H25</f>
        <v>0.43665919282511212</v>
      </c>
    </row>
    <row r="24" spans="2:8" x14ac:dyDescent="0.2">
      <c r="G24">
        <f>SUM(E3:E4,C3:C4)</f>
        <v>9932</v>
      </c>
      <c r="H24">
        <f>SUM(G3:G4)</f>
        <v>20105</v>
      </c>
    </row>
    <row r="25" spans="2:8" x14ac:dyDescent="0.2">
      <c r="G25">
        <f>SUM(E5:E6,C5:C6)</f>
        <v>5453</v>
      </c>
      <c r="H25">
        <f>SUM(G5:G6)</f>
        <v>12488</v>
      </c>
    </row>
  </sheetData>
  <conditionalFormatting sqref="C15:C18">
    <cfRule type="colorScale" priority="1">
      <colorScale>
        <cfvo type="min"/>
        <cfvo type="max"/>
        <color rgb="FFFCFCFF"/>
        <color rgb="FF63BE7B"/>
      </colorScale>
    </cfRule>
  </conditionalFormatting>
  <conditionalFormatting sqref="D15:D18">
    <cfRule type="colorScale" priority="2">
      <colorScale>
        <cfvo type="min"/>
        <cfvo type="max"/>
        <color rgb="FFFCFCFF"/>
        <color rgb="FFF8696B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558569-CCF6-DB4C-8794-5CB7149B0CFC}">
  <dimension ref="B1:G28"/>
  <sheetViews>
    <sheetView workbookViewId="0">
      <selection activeCell="B32" sqref="B32"/>
    </sheetView>
  </sheetViews>
  <sheetFormatPr baseColWidth="10" defaultRowHeight="16" x14ac:dyDescent="0.2"/>
  <cols>
    <col min="2" max="2" width="19.83203125" bestFit="1" customWidth="1"/>
    <col min="3" max="3" width="12.1640625" bestFit="1" customWidth="1"/>
    <col min="7" max="7" width="11.6640625" bestFit="1" customWidth="1"/>
  </cols>
  <sheetData>
    <row r="1" spans="2:7" ht="17" thickBot="1" x14ac:dyDescent="0.25"/>
    <row r="2" spans="2:7" ht="17" thickBot="1" x14ac:dyDescent="0.25">
      <c r="B2" s="2" t="s">
        <v>58</v>
      </c>
      <c r="C2" s="2" t="s">
        <v>0</v>
      </c>
      <c r="D2" s="2" t="s">
        <v>1</v>
      </c>
      <c r="E2" s="2" t="s">
        <v>2</v>
      </c>
      <c r="F2" s="2" t="s">
        <v>3</v>
      </c>
      <c r="G2" s="2" t="s">
        <v>57</v>
      </c>
    </row>
    <row r="3" spans="2:7" x14ac:dyDescent="0.2">
      <c r="B3" s="3" t="s">
        <v>47</v>
      </c>
      <c r="C3" s="3">
        <v>261</v>
      </c>
      <c r="D3" s="3">
        <v>4040</v>
      </c>
      <c r="E3" s="3">
        <v>1982</v>
      </c>
      <c r="F3" s="3">
        <v>5197</v>
      </c>
      <c r="G3" s="3">
        <v>11480</v>
      </c>
    </row>
    <row r="4" spans="2:7" x14ac:dyDescent="0.2">
      <c r="B4" s="4" t="s">
        <v>45</v>
      </c>
      <c r="C4" s="4">
        <v>553</v>
      </c>
      <c r="D4" s="4">
        <v>1259</v>
      </c>
      <c r="E4" s="4">
        <v>2753</v>
      </c>
      <c r="F4" s="4">
        <v>1142</v>
      </c>
      <c r="G4" s="4">
        <v>5707</v>
      </c>
    </row>
    <row r="5" spans="2:7" x14ac:dyDescent="0.2">
      <c r="B5" s="4" t="s">
        <v>44</v>
      </c>
      <c r="C5" s="4">
        <v>444</v>
      </c>
      <c r="D5" s="4">
        <v>564</v>
      </c>
      <c r="E5" s="4">
        <v>2046</v>
      </c>
      <c r="F5" s="4">
        <v>406</v>
      </c>
      <c r="G5" s="4">
        <v>3460</v>
      </c>
    </row>
    <row r="6" spans="2:7" x14ac:dyDescent="0.2">
      <c r="B6" s="4" t="s">
        <v>43</v>
      </c>
      <c r="C6" s="4">
        <v>325</v>
      </c>
      <c r="D6" s="4">
        <v>294</v>
      </c>
      <c r="E6" s="4">
        <v>1351</v>
      </c>
      <c r="F6" s="4">
        <v>212</v>
      </c>
      <c r="G6" s="4">
        <v>2182</v>
      </c>
    </row>
    <row r="7" spans="2:7" ht="17" thickBot="1" x14ac:dyDescent="0.25">
      <c r="B7" s="5" t="s">
        <v>46</v>
      </c>
      <c r="C7" s="5">
        <v>1441</v>
      </c>
      <c r="D7" s="5">
        <v>521</v>
      </c>
      <c r="E7" s="5">
        <v>4226</v>
      </c>
      <c r="F7" s="5">
        <v>211</v>
      </c>
      <c r="G7" s="5">
        <v>6399</v>
      </c>
    </row>
    <row r="8" spans="2:7" ht="17" thickBot="1" x14ac:dyDescent="0.25"/>
    <row r="9" spans="2:7" ht="17" thickBot="1" x14ac:dyDescent="0.25">
      <c r="B9" s="2" t="s">
        <v>58</v>
      </c>
      <c r="C9" s="2" t="s">
        <v>4</v>
      </c>
      <c r="D9" s="2" t="s">
        <v>5</v>
      </c>
      <c r="E9" s="2" t="s">
        <v>6</v>
      </c>
      <c r="F9" s="2" t="s">
        <v>7</v>
      </c>
    </row>
    <row r="10" spans="2:7" x14ac:dyDescent="0.2">
      <c r="B10" s="3" t="s">
        <v>47</v>
      </c>
      <c r="C10" s="3">
        <v>2.2999999999999998</v>
      </c>
      <c r="D10" s="3">
        <v>35.200000000000003</v>
      </c>
      <c r="E10" s="3">
        <v>17.3</v>
      </c>
      <c r="F10" s="3">
        <v>45.3</v>
      </c>
    </row>
    <row r="11" spans="2:7" x14ac:dyDescent="0.2">
      <c r="B11" s="4" t="s">
        <v>45</v>
      </c>
      <c r="C11" s="4">
        <v>9.6999999999999993</v>
      </c>
      <c r="D11" s="4">
        <v>22.1</v>
      </c>
      <c r="E11" s="4">
        <v>48.2</v>
      </c>
      <c r="F11" s="4">
        <v>20</v>
      </c>
    </row>
    <row r="12" spans="2:7" x14ac:dyDescent="0.2">
      <c r="B12" s="4" t="s">
        <v>44</v>
      </c>
      <c r="C12" s="4">
        <v>12.8</v>
      </c>
      <c r="D12" s="4">
        <v>16.3</v>
      </c>
      <c r="E12" s="4">
        <v>59.1</v>
      </c>
      <c r="F12" s="4">
        <v>11.7</v>
      </c>
    </row>
    <row r="13" spans="2:7" x14ac:dyDescent="0.2">
      <c r="B13" s="4" t="s">
        <v>43</v>
      </c>
      <c r="C13" s="4">
        <v>14.9</v>
      </c>
      <c r="D13" s="4">
        <v>13.5</v>
      </c>
      <c r="E13" s="4">
        <v>61.9</v>
      </c>
      <c r="F13" s="4">
        <v>9.6999999999999993</v>
      </c>
    </row>
    <row r="14" spans="2:7" ht="17" thickBot="1" x14ac:dyDescent="0.25">
      <c r="B14" s="5" t="s">
        <v>46</v>
      </c>
      <c r="C14" s="5">
        <v>22.5</v>
      </c>
      <c r="D14" s="5">
        <v>8.1</v>
      </c>
      <c r="E14" s="5">
        <v>66</v>
      </c>
      <c r="F14" s="5">
        <v>3.3</v>
      </c>
    </row>
    <row r="15" spans="2:7" ht="17" thickBot="1" x14ac:dyDescent="0.25"/>
    <row r="16" spans="2:7" ht="17" thickBot="1" x14ac:dyDescent="0.25">
      <c r="B16" s="12" t="s">
        <v>58</v>
      </c>
      <c r="C16" s="12" t="s">
        <v>61</v>
      </c>
      <c r="D16" s="12" t="s">
        <v>54</v>
      </c>
    </row>
    <row r="17" spans="2:6" x14ac:dyDescent="0.2">
      <c r="B17" s="3" t="s">
        <v>47</v>
      </c>
      <c r="C17" s="3">
        <f>C10+E10</f>
        <v>19.600000000000001</v>
      </c>
      <c r="D17" s="3">
        <f>D10+F10</f>
        <v>80.5</v>
      </c>
    </row>
    <row r="18" spans="2:6" x14ac:dyDescent="0.2">
      <c r="B18" s="4" t="s">
        <v>45</v>
      </c>
      <c r="C18" s="4">
        <f t="shared" ref="C18:D18" si="0">C11+E11</f>
        <v>57.900000000000006</v>
      </c>
      <c r="D18" s="4">
        <f t="shared" si="0"/>
        <v>42.1</v>
      </c>
    </row>
    <row r="19" spans="2:6" x14ac:dyDescent="0.2">
      <c r="B19" s="4" t="s">
        <v>44</v>
      </c>
      <c r="C19" s="4">
        <f t="shared" ref="C19:D19" si="1">C12+E12</f>
        <v>71.900000000000006</v>
      </c>
      <c r="D19" s="4">
        <f t="shared" si="1"/>
        <v>28</v>
      </c>
    </row>
    <row r="20" spans="2:6" x14ac:dyDescent="0.2">
      <c r="B20" s="4" t="s">
        <v>43</v>
      </c>
      <c r="C20" s="4">
        <f t="shared" ref="C20:D20" si="2">C13+E13</f>
        <v>76.8</v>
      </c>
      <c r="D20" s="4">
        <f t="shared" si="2"/>
        <v>23.2</v>
      </c>
    </row>
    <row r="21" spans="2:6" ht="17" thickBot="1" x14ac:dyDescent="0.25">
      <c r="B21" s="5" t="s">
        <v>46</v>
      </c>
      <c r="C21" s="5">
        <f t="shared" ref="C21:D21" si="3">C14+E14</f>
        <v>88.5</v>
      </c>
      <c r="D21" s="5">
        <f t="shared" si="3"/>
        <v>11.399999999999999</v>
      </c>
    </row>
    <row r="22" spans="2:6" ht="17" thickBot="1" x14ac:dyDescent="0.25"/>
    <row r="23" spans="2:6" ht="17" thickBot="1" x14ac:dyDescent="0.25">
      <c r="B23" s="12" t="s">
        <v>58</v>
      </c>
      <c r="C23" s="12" t="s">
        <v>61</v>
      </c>
    </row>
    <row r="24" spans="2:6" x14ac:dyDescent="0.2">
      <c r="B24">
        <v>250</v>
      </c>
      <c r="C24" s="3">
        <f>C17+E17</f>
        <v>19.600000000000001</v>
      </c>
      <c r="E24" cm="1">
        <f t="array" ref="E24:F28">LINEST(C24:C28,B24:B28,1,1)</f>
        <v>3.134E-2</v>
      </c>
      <c r="F24">
        <v>23.765000000000001</v>
      </c>
    </row>
    <row r="25" spans="2:6" x14ac:dyDescent="0.2">
      <c r="B25">
        <v>750</v>
      </c>
      <c r="C25" s="4">
        <f t="shared" ref="C25:C28" si="4">C18+E18</f>
        <v>57.900000000000006</v>
      </c>
      <c r="E25">
        <v>7.0612841136250409E-3</v>
      </c>
      <c r="F25">
        <v>10.1409972389307</v>
      </c>
    </row>
    <row r="26" spans="2:6" x14ac:dyDescent="0.2">
      <c r="B26">
        <v>1250</v>
      </c>
      <c r="C26" s="4">
        <f t="shared" si="4"/>
        <v>71.900000000000006</v>
      </c>
      <c r="E26">
        <v>0.86783200421848461</v>
      </c>
      <c r="F26">
        <v>11.164870502309171</v>
      </c>
    </row>
    <row r="27" spans="2:6" x14ac:dyDescent="0.2">
      <c r="B27">
        <v>1750</v>
      </c>
      <c r="C27" s="4">
        <f t="shared" si="4"/>
        <v>76.8</v>
      </c>
      <c r="E27">
        <v>19.698384599545925</v>
      </c>
      <c r="F27">
        <v>3</v>
      </c>
    </row>
    <row r="28" spans="2:6" ht="17" thickBot="1" x14ac:dyDescent="0.25">
      <c r="B28">
        <v>2250</v>
      </c>
      <c r="C28" s="5">
        <f t="shared" si="4"/>
        <v>88.5</v>
      </c>
      <c r="E28">
        <v>2455.4889999999996</v>
      </c>
      <c r="F28">
        <v>373.96300000000031</v>
      </c>
    </row>
  </sheetData>
  <conditionalFormatting sqref="C17:C21">
    <cfRule type="colorScale" priority="5">
      <colorScale>
        <cfvo type="min"/>
        <cfvo type="max"/>
        <color rgb="FFFCFCFF"/>
        <color rgb="FF63BE7B"/>
      </colorScale>
    </cfRule>
  </conditionalFormatting>
  <conditionalFormatting sqref="D17:D21">
    <cfRule type="colorScale" priority="2">
      <colorScale>
        <cfvo type="min"/>
        <cfvo type="max"/>
        <color rgb="FFFCFCFF"/>
        <color rgb="FFF8696B"/>
      </colorScale>
    </cfRule>
  </conditionalFormatting>
  <conditionalFormatting sqref="C24:C28">
    <cfRule type="colorScale" priority="1">
      <colorScale>
        <cfvo type="min"/>
        <cfvo type="max"/>
        <color rgb="FFFCFCFF"/>
        <color rgb="FF63BE7B"/>
      </colorScale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E7D0D9-5943-5740-B728-A281AA80B285}">
  <dimension ref="B1:G32"/>
  <sheetViews>
    <sheetView workbookViewId="0">
      <selection activeCell="B30" sqref="B30"/>
    </sheetView>
  </sheetViews>
  <sheetFormatPr baseColWidth="10" defaultRowHeight="16" x14ac:dyDescent="0.2"/>
  <cols>
    <col min="2" max="2" width="26.1640625" bestFit="1" customWidth="1"/>
    <col min="3" max="3" width="12.1640625" bestFit="1" customWidth="1"/>
    <col min="6" max="6" width="11.83203125" bestFit="1" customWidth="1"/>
    <col min="7" max="7" width="12.83203125" bestFit="1" customWidth="1"/>
  </cols>
  <sheetData>
    <row r="1" spans="2:7" ht="17" thickBot="1" x14ac:dyDescent="0.25"/>
    <row r="2" spans="2:7" ht="17" thickBot="1" x14ac:dyDescent="0.25">
      <c r="B2" s="2" t="s">
        <v>56</v>
      </c>
      <c r="C2" s="2" t="s">
        <v>0</v>
      </c>
      <c r="D2" s="2" t="s">
        <v>1</v>
      </c>
      <c r="E2" s="2" t="s">
        <v>2</v>
      </c>
      <c r="F2" s="2" t="s">
        <v>3</v>
      </c>
      <c r="G2" s="2" t="s">
        <v>57</v>
      </c>
    </row>
    <row r="3" spans="2:7" x14ac:dyDescent="0.2">
      <c r="B3" s="3">
        <v>0</v>
      </c>
      <c r="C3" s="3">
        <v>2857</v>
      </c>
      <c r="D3" s="3">
        <v>5731</v>
      </c>
      <c r="E3" s="3">
        <v>11148</v>
      </c>
      <c r="F3" s="3">
        <v>8685</v>
      </c>
      <c r="G3" s="3">
        <v>28421</v>
      </c>
    </row>
    <row r="4" spans="2:7" x14ac:dyDescent="0.2">
      <c r="B4" s="4">
        <v>1</v>
      </c>
      <c r="C4" s="4">
        <v>143</v>
      </c>
      <c r="D4" s="4">
        <v>1009</v>
      </c>
      <c r="E4" s="4">
        <v>997</v>
      </c>
      <c r="F4" s="4">
        <v>1150</v>
      </c>
      <c r="G4" s="4">
        <v>3299</v>
      </c>
    </row>
    <row r="5" spans="2:7" x14ac:dyDescent="0.2">
      <c r="B5" s="4">
        <v>2</v>
      </c>
      <c r="C5" s="4">
        <v>22</v>
      </c>
      <c r="D5" s="4">
        <v>236</v>
      </c>
      <c r="E5" s="4">
        <v>170</v>
      </c>
      <c r="F5" s="4">
        <v>247</v>
      </c>
      <c r="G5" s="4">
        <v>675</v>
      </c>
    </row>
    <row r="6" spans="2:7" ht="17" thickBot="1" x14ac:dyDescent="0.25">
      <c r="B6" s="5" t="s">
        <v>48</v>
      </c>
      <c r="C6" s="5">
        <v>2</v>
      </c>
      <c r="D6" s="5">
        <v>76</v>
      </c>
      <c r="E6" s="5">
        <v>46</v>
      </c>
      <c r="F6" s="5">
        <v>74</v>
      </c>
      <c r="G6" s="5">
        <v>198</v>
      </c>
    </row>
    <row r="7" spans="2:7" ht="17" thickBot="1" x14ac:dyDescent="0.25"/>
    <row r="8" spans="2:7" ht="17" thickBot="1" x14ac:dyDescent="0.25">
      <c r="B8" s="2" t="s">
        <v>56</v>
      </c>
      <c r="C8" s="2" t="s">
        <v>4</v>
      </c>
      <c r="D8" s="2" t="s">
        <v>5</v>
      </c>
      <c r="E8" s="2" t="s">
        <v>6</v>
      </c>
      <c r="F8" s="2" t="s">
        <v>7</v>
      </c>
    </row>
    <row r="9" spans="2:7" x14ac:dyDescent="0.2">
      <c r="B9" s="3">
        <v>0</v>
      </c>
      <c r="C9" s="3">
        <v>10.1</v>
      </c>
      <c r="D9" s="3">
        <v>20.2</v>
      </c>
      <c r="E9" s="3">
        <v>39.200000000000003</v>
      </c>
      <c r="F9" s="3">
        <v>30.6</v>
      </c>
    </row>
    <row r="10" spans="2:7" x14ac:dyDescent="0.2">
      <c r="B10" s="4">
        <v>1</v>
      </c>
      <c r="C10" s="4">
        <v>4.3</v>
      </c>
      <c r="D10" s="4">
        <v>30.6</v>
      </c>
      <c r="E10" s="4">
        <v>30.2</v>
      </c>
      <c r="F10" s="4">
        <v>34.9</v>
      </c>
    </row>
    <row r="11" spans="2:7" x14ac:dyDescent="0.2">
      <c r="B11" s="4">
        <v>2</v>
      </c>
      <c r="C11" s="4">
        <v>3.3</v>
      </c>
      <c r="D11" s="4">
        <v>35</v>
      </c>
      <c r="E11" s="4">
        <v>25.2</v>
      </c>
      <c r="F11" s="4">
        <v>36.6</v>
      </c>
    </row>
    <row r="12" spans="2:7" ht="17" thickBot="1" x14ac:dyDescent="0.25">
      <c r="B12" s="5" t="s">
        <v>48</v>
      </c>
      <c r="C12" s="5">
        <v>1</v>
      </c>
      <c r="D12" s="5">
        <v>38.4</v>
      </c>
      <c r="E12" s="5">
        <v>23.2</v>
      </c>
      <c r="F12" s="5">
        <v>37.4</v>
      </c>
    </row>
    <row r="13" spans="2:7" ht="17" thickBot="1" x14ac:dyDescent="0.25"/>
    <row r="14" spans="2:7" ht="17" thickBot="1" x14ac:dyDescent="0.25">
      <c r="B14" s="2" t="s">
        <v>56</v>
      </c>
      <c r="C14" s="12" t="s">
        <v>61</v>
      </c>
      <c r="D14" s="2" t="s">
        <v>54</v>
      </c>
    </row>
    <row r="15" spans="2:7" x14ac:dyDescent="0.2">
      <c r="B15" s="6">
        <v>0</v>
      </c>
      <c r="C15" s="3">
        <f>SUM(C9+E9)</f>
        <v>49.300000000000004</v>
      </c>
      <c r="D15" s="9">
        <f>SUM(D9+F9)</f>
        <v>50.8</v>
      </c>
    </row>
    <row r="16" spans="2:7" x14ac:dyDescent="0.2">
      <c r="B16" s="7">
        <v>1</v>
      </c>
      <c r="C16" s="4">
        <f t="shared" ref="C16:D18" si="0">SUM(C10+E10)</f>
        <v>34.5</v>
      </c>
      <c r="D16" s="10">
        <f t="shared" si="0"/>
        <v>65.5</v>
      </c>
    </row>
    <row r="17" spans="2:4" x14ac:dyDescent="0.2">
      <c r="B17" s="7">
        <v>2</v>
      </c>
      <c r="C17" s="4">
        <f t="shared" si="0"/>
        <v>28.5</v>
      </c>
      <c r="D17" s="10">
        <f t="shared" si="0"/>
        <v>71.599999999999994</v>
      </c>
    </row>
    <row r="18" spans="2:4" ht="17" thickBot="1" x14ac:dyDescent="0.25">
      <c r="B18" s="8">
        <v>3</v>
      </c>
      <c r="C18" s="5">
        <f t="shared" si="0"/>
        <v>24.2</v>
      </c>
      <c r="D18" s="11">
        <f t="shared" si="0"/>
        <v>75.8</v>
      </c>
    </row>
    <row r="21" spans="2:4" x14ac:dyDescent="0.2">
      <c r="B21" s="15" t="s">
        <v>67</v>
      </c>
      <c r="C21">
        <v>-8.1300000000000008</v>
      </c>
    </row>
    <row r="22" spans="2:4" x14ac:dyDescent="0.2">
      <c r="B22" s="15" t="s">
        <v>68</v>
      </c>
      <c r="C22">
        <v>49.3</v>
      </c>
    </row>
    <row r="23" spans="2:4" x14ac:dyDescent="0.2">
      <c r="B23" s="15" t="s">
        <v>69</v>
      </c>
      <c r="C23">
        <v>0.92</v>
      </c>
    </row>
    <row r="28" spans="2:4" x14ac:dyDescent="0.2">
      <c r="C28" cm="1">
        <f t="array" ref="C28:D32">LINEST(C15:C18,B15:B18,1,1)</f>
        <v>-8.1300000000000008</v>
      </c>
      <c r="D28">
        <v>46.32</v>
      </c>
    </row>
    <row r="29" spans="2:4" x14ac:dyDescent="0.2">
      <c r="C29">
        <v>1.7344451562387331</v>
      </c>
      <c r="D29">
        <v>3.2448497653974693</v>
      </c>
    </row>
    <row r="30" spans="2:4" x14ac:dyDescent="0.2">
      <c r="C30">
        <v>0.91656763296747479</v>
      </c>
      <c r="D30">
        <v>3.8783372725950511</v>
      </c>
    </row>
    <row r="31" spans="2:4" x14ac:dyDescent="0.2">
      <c r="C31">
        <v>21.971512149719089</v>
      </c>
      <c r="D31">
        <v>2</v>
      </c>
    </row>
    <row r="32" spans="2:4" x14ac:dyDescent="0.2">
      <c r="C32">
        <v>330.48450000000008</v>
      </c>
      <c r="D32">
        <v>30.083000000000037</v>
      </c>
    </row>
  </sheetData>
  <conditionalFormatting sqref="C15:C18">
    <cfRule type="colorScale" priority="1">
      <colorScale>
        <cfvo type="min"/>
        <cfvo type="max"/>
        <color rgb="FFFCFCFF"/>
        <color rgb="FF63BE7B"/>
      </colorScale>
    </cfRule>
  </conditionalFormatting>
  <conditionalFormatting sqref="D15:D18">
    <cfRule type="colorScale" priority="2">
      <colorScale>
        <cfvo type="min"/>
        <cfvo type="max"/>
        <color rgb="FFFCFCFF"/>
        <color rgb="FFF8696B"/>
      </colorScale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D020DE-BAC1-F24D-B74F-ED5723E3FCDF}">
  <dimension ref="B1:G32"/>
  <sheetViews>
    <sheetView topLeftCell="A4" workbookViewId="0">
      <selection activeCell="B23" sqref="B23:C28"/>
    </sheetView>
  </sheetViews>
  <sheetFormatPr baseColWidth="10" defaultRowHeight="16" x14ac:dyDescent="0.2"/>
  <cols>
    <col min="2" max="2" width="18.6640625" bestFit="1" customWidth="1"/>
    <col min="3" max="3" width="12" bestFit="1" customWidth="1"/>
    <col min="6" max="6" width="11.83203125" bestFit="1" customWidth="1"/>
    <col min="7" max="7" width="12.5" bestFit="1" customWidth="1"/>
  </cols>
  <sheetData>
    <row r="1" spans="2:7" ht="17" thickBot="1" x14ac:dyDescent="0.25"/>
    <row r="2" spans="2:7" ht="17" thickBot="1" x14ac:dyDescent="0.25">
      <c r="B2" s="2" t="s">
        <v>55</v>
      </c>
      <c r="C2" s="2" t="s">
        <v>0</v>
      </c>
      <c r="D2" s="2" t="s">
        <v>1</v>
      </c>
      <c r="E2" s="2" t="s">
        <v>2</v>
      </c>
      <c r="F2" s="2" t="s">
        <v>3</v>
      </c>
      <c r="G2" s="2" t="s">
        <v>57</v>
      </c>
    </row>
    <row r="3" spans="2:7" x14ac:dyDescent="0.2">
      <c r="B3" s="3" t="s">
        <v>53</v>
      </c>
      <c r="C3" s="3">
        <v>2083</v>
      </c>
      <c r="D3" s="3">
        <v>4700</v>
      </c>
      <c r="E3" s="3">
        <v>8571</v>
      </c>
      <c r="F3" s="3">
        <v>5214</v>
      </c>
      <c r="G3" s="3">
        <v>20568</v>
      </c>
    </row>
    <row r="4" spans="2:7" x14ac:dyDescent="0.2">
      <c r="B4" s="4" t="s">
        <v>52</v>
      </c>
      <c r="C4" s="4">
        <v>846</v>
      </c>
      <c r="D4" s="4">
        <v>1938</v>
      </c>
      <c r="E4" s="4">
        <v>3200</v>
      </c>
      <c r="F4" s="4">
        <v>3785</v>
      </c>
      <c r="G4" s="4">
        <v>9769</v>
      </c>
    </row>
    <row r="5" spans="2:7" x14ac:dyDescent="0.2">
      <c r="B5" s="4" t="s">
        <v>51</v>
      </c>
      <c r="C5" s="4">
        <v>76</v>
      </c>
      <c r="D5" s="4">
        <v>334</v>
      </c>
      <c r="E5" s="4">
        <v>483</v>
      </c>
      <c r="F5" s="4">
        <v>822</v>
      </c>
      <c r="G5" s="4">
        <v>1715</v>
      </c>
    </row>
    <row r="6" spans="2:7" x14ac:dyDescent="0.2">
      <c r="B6" s="4" t="s">
        <v>50</v>
      </c>
      <c r="C6" s="4">
        <v>15</v>
      </c>
      <c r="D6" s="4">
        <v>58</v>
      </c>
      <c r="E6" s="4">
        <v>86</v>
      </c>
      <c r="F6" s="4">
        <v>266</v>
      </c>
      <c r="G6" s="4">
        <v>425</v>
      </c>
    </row>
    <row r="7" spans="2:7" ht="17" thickBot="1" x14ac:dyDescent="0.25">
      <c r="B7" s="5" t="s">
        <v>49</v>
      </c>
      <c r="C7" s="5">
        <v>4</v>
      </c>
      <c r="D7" s="5">
        <v>22</v>
      </c>
      <c r="E7" s="5">
        <v>21</v>
      </c>
      <c r="F7" s="5">
        <v>69</v>
      </c>
      <c r="G7" s="5">
        <v>116</v>
      </c>
    </row>
    <row r="8" spans="2:7" ht="17" thickBot="1" x14ac:dyDescent="0.25">
      <c r="B8" s="1"/>
      <c r="C8" s="1"/>
      <c r="D8" s="1"/>
      <c r="E8" s="1"/>
      <c r="F8" s="1"/>
      <c r="G8" s="1"/>
    </row>
    <row r="9" spans="2:7" ht="17" thickBot="1" x14ac:dyDescent="0.25">
      <c r="B9" s="2" t="s">
        <v>55</v>
      </c>
      <c r="C9" s="2" t="s">
        <v>4</v>
      </c>
      <c r="D9" s="2" t="s">
        <v>5</v>
      </c>
      <c r="E9" s="2" t="s">
        <v>6</v>
      </c>
      <c r="F9" s="2" t="s">
        <v>7</v>
      </c>
    </row>
    <row r="10" spans="2:7" x14ac:dyDescent="0.2">
      <c r="B10" s="3" t="s">
        <v>53</v>
      </c>
      <c r="C10" s="3">
        <v>10.1</v>
      </c>
      <c r="D10" s="3">
        <v>22.9</v>
      </c>
      <c r="E10" s="3">
        <v>41.7</v>
      </c>
      <c r="F10" s="3">
        <v>25.4</v>
      </c>
    </row>
    <row r="11" spans="2:7" x14ac:dyDescent="0.2">
      <c r="B11" s="4" t="s">
        <v>52</v>
      </c>
      <c r="C11" s="4">
        <v>8.6999999999999993</v>
      </c>
      <c r="D11" s="4">
        <v>19.8</v>
      </c>
      <c r="E11" s="4">
        <v>32.799999999999997</v>
      </c>
      <c r="F11" s="4">
        <v>38.700000000000003</v>
      </c>
    </row>
    <row r="12" spans="2:7" x14ac:dyDescent="0.2">
      <c r="B12" s="4" t="s">
        <v>51</v>
      </c>
      <c r="C12" s="4">
        <v>4.4000000000000004</v>
      </c>
      <c r="D12" s="4">
        <v>19.5</v>
      </c>
      <c r="E12" s="4">
        <v>28.2</v>
      </c>
      <c r="F12" s="4">
        <v>47.9</v>
      </c>
    </row>
    <row r="13" spans="2:7" x14ac:dyDescent="0.2">
      <c r="B13" s="4" t="s">
        <v>50</v>
      </c>
      <c r="C13" s="4">
        <v>3.5</v>
      </c>
      <c r="D13" s="4">
        <v>13.6</v>
      </c>
      <c r="E13" s="4">
        <v>20.2</v>
      </c>
      <c r="F13" s="4">
        <v>62.6</v>
      </c>
    </row>
    <row r="14" spans="2:7" ht="17" thickBot="1" x14ac:dyDescent="0.25">
      <c r="B14" s="5" t="s">
        <v>49</v>
      </c>
      <c r="C14" s="5">
        <v>3.4</v>
      </c>
      <c r="D14" s="5">
        <v>19</v>
      </c>
      <c r="E14" s="5">
        <v>18.100000000000001</v>
      </c>
      <c r="F14" s="5">
        <v>59.5</v>
      </c>
    </row>
    <row r="15" spans="2:7" ht="17" thickBot="1" x14ac:dyDescent="0.25"/>
    <row r="16" spans="2:7" ht="17" thickBot="1" x14ac:dyDescent="0.25">
      <c r="B16" s="2" t="s">
        <v>55</v>
      </c>
      <c r="C16" s="2" t="s">
        <v>61</v>
      </c>
      <c r="D16" s="2" t="s">
        <v>54</v>
      </c>
    </row>
    <row r="17" spans="2:6" x14ac:dyDescent="0.2">
      <c r="B17" s="3" t="s">
        <v>53</v>
      </c>
      <c r="C17" s="3">
        <f>C10+E10</f>
        <v>51.800000000000004</v>
      </c>
      <c r="D17" s="3">
        <f>D10+F10</f>
        <v>48.3</v>
      </c>
    </row>
    <row r="18" spans="2:6" x14ac:dyDescent="0.2">
      <c r="B18" s="4" t="s">
        <v>52</v>
      </c>
      <c r="C18" s="4">
        <f t="shared" ref="C18:D21" si="0">C11+E11</f>
        <v>41.5</v>
      </c>
      <c r="D18" s="4">
        <f t="shared" si="0"/>
        <v>58.5</v>
      </c>
    </row>
    <row r="19" spans="2:6" x14ac:dyDescent="0.2">
      <c r="B19" s="4" t="s">
        <v>51</v>
      </c>
      <c r="C19" s="4">
        <f t="shared" si="0"/>
        <v>32.6</v>
      </c>
      <c r="D19" s="4">
        <f t="shared" si="0"/>
        <v>67.400000000000006</v>
      </c>
    </row>
    <row r="20" spans="2:6" x14ac:dyDescent="0.2">
      <c r="B20" s="4" t="s">
        <v>50</v>
      </c>
      <c r="C20" s="4">
        <f t="shared" si="0"/>
        <v>23.7</v>
      </c>
      <c r="D20" s="4">
        <f t="shared" si="0"/>
        <v>76.2</v>
      </c>
    </row>
    <row r="21" spans="2:6" ht="17" thickBot="1" x14ac:dyDescent="0.25">
      <c r="B21" s="5" t="s">
        <v>49</v>
      </c>
      <c r="C21" s="5">
        <f t="shared" si="0"/>
        <v>21.5</v>
      </c>
      <c r="D21" s="5">
        <f t="shared" si="0"/>
        <v>78.5</v>
      </c>
    </row>
    <row r="22" spans="2:6" ht="17" thickBot="1" x14ac:dyDescent="0.25"/>
    <row r="23" spans="2:6" ht="17" thickBot="1" x14ac:dyDescent="0.25">
      <c r="B23" s="16" t="s">
        <v>70</v>
      </c>
      <c r="C23" s="2" t="s">
        <v>61</v>
      </c>
      <c r="E23" cm="1">
        <f t="array" ref="E23:F27">LINEST(C24:C28,B24:B28,1,1)</f>
        <v>-0.13066666666666668</v>
      </c>
      <c r="F23">
        <v>53.82</v>
      </c>
    </row>
    <row r="24" spans="2:6" x14ac:dyDescent="0.2">
      <c r="B24">
        <v>30</v>
      </c>
      <c r="C24" s="3">
        <f>C17+E17</f>
        <v>51.800000000000004</v>
      </c>
      <c r="E24">
        <v>1.4431190500414689E-2</v>
      </c>
      <c r="F24">
        <v>2.4870263368127001</v>
      </c>
    </row>
    <row r="25" spans="2:6" x14ac:dyDescent="0.2">
      <c r="B25">
        <v>90</v>
      </c>
      <c r="C25" s="4">
        <f t="shared" ref="C25:C28" si="1">C18+E18</f>
        <v>41.5</v>
      </c>
      <c r="E25">
        <v>0.96469893964981457</v>
      </c>
      <c r="F25">
        <v>2.7381258797457302</v>
      </c>
    </row>
    <row r="26" spans="2:6" x14ac:dyDescent="0.2">
      <c r="B26">
        <v>150</v>
      </c>
      <c r="C26" s="4">
        <f t="shared" si="1"/>
        <v>32.6</v>
      </c>
      <c r="E26">
        <v>81.983282945047193</v>
      </c>
      <c r="F26">
        <v>3</v>
      </c>
    </row>
    <row r="27" spans="2:6" x14ac:dyDescent="0.2">
      <c r="B27">
        <v>210</v>
      </c>
      <c r="C27" s="4">
        <f t="shared" si="1"/>
        <v>23.7</v>
      </c>
      <c r="E27">
        <v>614.65600000000018</v>
      </c>
      <c r="F27">
        <v>22.491999999999987</v>
      </c>
    </row>
    <row r="28" spans="2:6" ht="17" thickBot="1" x14ac:dyDescent="0.25">
      <c r="B28">
        <v>270</v>
      </c>
      <c r="C28" s="5">
        <f t="shared" si="1"/>
        <v>21.5</v>
      </c>
    </row>
    <row r="30" spans="2:6" x14ac:dyDescent="0.2">
      <c r="B30" t="s">
        <v>67</v>
      </c>
      <c r="C30" s="16">
        <f>E23</f>
        <v>-0.13066666666666668</v>
      </c>
    </row>
    <row r="31" spans="2:6" x14ac:dyDescent="0.2">
      <c r="B31" t="s">
        <v>71</v>
      </c>
      <c r="C31">
        <f>F23</f>
        <v>53.82</v>
      </c>
    </row>
    <row r="32" spans="2:6" x14ac:dyDescent="0.2">
      <c r="B32" t="s">
        <v>69</v>
      </c>
      <c r="C32">
        <f>E25</f>
        <v>0.96469893964981457</v>
      </c>
    </row>
  </sheetData>
  <conditionalFormatting sqref="C17:C21">
    <cfRule type="colorScale" priority="3">
      <colorScale>
        <cfvo type="min"/>
        <cfvo type="max"/>
        <color rgb="FFFCFCFF"/>
        <color rgb="FF63BE7B"/>
      </colorScale>
    </cfRule>
  </conditionalFormatting>
  <conditionalFormatting sqref="D17:D21">
    <cfRule type="colorScale" priority="2">
      <colorScale>
        <cfvo type="min"/>
        <cfvo type="max"/>
        <color rgb="FFFCFCFF"/>
        <color rgb="FFF8696B"/>
      </colorScale>
    </cfRule>
  </conditionalFormatting>
  <conditionalFormatting sqref="C24:C28 C30">
    <cfRule type="colorScale" priority="1">
      <colorScale>
        <cfvo type="min"/>
        <cfvo type="max"/>
        <color rgb="FFFCFCFF"/>
        <color rgb="FF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final_result_by_region</vt:lpstr>
      <vt:lpstr>final_result_by_imd_band</vt:lpstr>
      <vt:lpstr>final_result_by_age_band</vt:lpstr>
      <vt:lpstr>final_result_by_gender</vt:lpstr>
      <vt:lpstr>final_result_by_disability</vt:lpstr>
      <vt:lpstr>final_result_by_code_presentati</vt:lpstr>
      <vt:lpstr>final_result_by_total_clicks</vt:lpstr>
      <vt:lpstr>final_result_by_num_of_prev_att</vt:lpstr>
      <vt:lpstr>final_result_by_studied_credits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Jackson</dc:creator>
  <cp:lastModifiedBy>James Jackson</cp:lastModifiedBy>
  <dcterms:created xsi:type="dcterms:W3CDTF">2025-08-05T12:34:32Z</dcterms:created>
  <dcterms:modified xsi:type="dcterms:W3CDTF">2025-08-12T19:14:34Z</dcterms:modified>
</cp:coreProperties>
</file>